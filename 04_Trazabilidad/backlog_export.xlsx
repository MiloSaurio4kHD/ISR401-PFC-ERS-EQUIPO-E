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Resumen" sheetId="2" state="visible" r:id="rId4"/>
  </sheets>
  <definedNames>
    <definedName function="false" hidden="true" localSheetId="0" name="_xlnm._FilterDatabase" vbProcedure="false">Backlog!$A$1:$K$41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<sst xmlns="http://schemas.openxmlformats.org/spreadsheetml/2006/main" count="414" uniqueCount="183">
  <si>
    <t xml:space="preserve">Clave</t>
  </si>
  <si>
    <t xml:space="preserve">Tipo</t>
  </si>
  <si>
    <t xml:space="preserve">ID tablero</t>
  </si>
  <si>
    <t xml:space="preserve">Resumen</t>
  </si>
  <si>
    <t xml:space="preserve">Fuente del requisito</t>
  </si>
  <si>
    <t xml:space="preserve">Prioridad MoSCoW</t>
  </si>
  <si>
    <t xml:space="preserve">Estado de verificacion</t>
  </si>
  <si>
    <t xml:space="preserve">Epic / Padre</t>
  </si>
  <si>
    <t xml:space="preserve">Clave padre</t>
  </si>
  <si>
    <t xml:space="preserve">Persona asignada</t>
  </si>
  <si>
    <t xml:space="preserve">Estado Jira</t>
  </si>
  <si>
    <t xml:space="preserve">SCRUM-6</t>
  </si>
  <si>
    <t xml:space="preserve">Epic</t>
  </si>
  <si>
    <t xml:space="preserve">EPIC-01</t>
  </si>
  <si>
    <t xml:space="preserve">EPIC-01 Gestión de mascotas y perfiles</t>
  </si>
  <si>
    <t xml:space="preserve">Tareas por hacer</t>
  </si>
  <si>
    <t xml:space="preserve">SCRUM-7</t>
  </si>
  <si>
    <t xml:space="preserve">EPIC-02</t>
  </si>
  <si>
    <t xml:space="preserve">EPIC-02 Adopción y seguimiento</t>
  </si>
  <si>
    <t xml:space="preserve">SCRUM-8</t>
  </si>
  <si>
    <t xml:space="preserve">EPIC-03</t>
  </si>
  <si>
    <t xml:space="preserve">EPIC-03 Cruza y compatibilidad</t>
  </si>
  <si>
    <t xml:space="preserve">SCRUM-9</t>
  </si>
  <si>
    <t xml:space="preserve">EPIC-04</t>
  </si>
  <si>
    <t xml:space="preserve">EPIC-04 Usuarios, comunicación y seguridad</t>
  </si>
  <si>
    <t xml:space="preserve">SCRUM-10</t>
  </si>
  <si>
    <t xml:space="preserve">EPIC-05</t>
  </si>
  <si>
    <t xml:space="preserve">EPIC-05 Salud, validación y trazabilidad veterinaria</t>
  </si>
  <si>
    <t xml:space="preserve">SCRUM-11</t>
  </si>
  <si>
    <t xml:space="preserve">Historia</t>
  </si>
  <si>
    <t xml:space="preserve">ST-01</t>
  </si>
  <si>
    <t xml:space="preserve">ST-01 RF-01 - Registrar mascota</t>
  </si>
  <si>
    <t xml:space="preserve">RF-01</t>
  </si>
  <si>
    <t xml:space="preserve">Must</t>
  </si>
  <si>
    <t xml:space="preserve">Verificado</t>
  </si>
  <si>
    <t xml:space="preserve">EDSON DANIEL FUERTES ARRAES</t>
  </si>
  <si>
    <t xml:space="preserve">SCRUM-12</t>
  </si>
  <si>
    <t xml:space="preserve">ST-02</t>
  </si>
  <si>
    <t xml:space="preserve">ST-02 RF-02 - Gestionar historial médico de la mascota</t>
  </si>
  <si>
    <t xml:space="preserve">RF-02</t>
  </si>
  <si>
    <t xml:space="preserve">SCRUM-13</t>
  </si>
  <si>
    <t xml:space="preserve">ST-03</t>
  </si>
  <si>
    <t xml:space="preserve">ST-03 RF-03 - Consultar perfil completo de una mascota</t>
  </si>
  <si>
    <t xml:space="preserve">RF-03</t>
  </si>
  <si>
    <t xml:space="preserve">SCRUM-14</t>
  </si>
  <si>
    <t xml:space="preserve">ST-04</t>
  </si>
  <si>
    <t xml:space="preserve">ST-04 RF-13 - Registrar publicaciones de mascotas</t>
  </si>
  <si>
    <t xml:space="preserve">RF-13</t>
  </si>
  <si>
    <t xml:space="preserve">En revisión</t>
  </si>
  <si>
    <t xml:space="preserve">Jonathanvg2407</t>
  </si>
  <si>
    <t xml:space="preserve">SCRUM-15</t>
  </si>
  <si>
    <t xml:space="preserve">ST-05</t>
  </si>
  <si>
    <t xml:space="preserve">ST-05 RF-14 - Gestionar carnet de vacunación</t>
  </si>
  <si>
    <t xml:space="preserve">RF-14</t>
  </si>
  <si>
    <t xml:space="preserve">SCRUM-16</t>
  </si>
  <si>
    <t xml:space="preserve">ST-06</t>
  </si>
  <si>
    <t xml:space="preserve">ST-06 RF-16 - Gestionar antecedentes genéticos y parentesco</t>
  </si>
  <si>
    <t xml:space="preserve">RF-16</t>
  </si>
  <si>
    <t xml:space="preserve">SCRUM-17</t>
  </si>
  <si>
    <t xml:space="preserve">ST-07</t>
  </si>
  <si>
    <t xml:space="preserve">ST-07 RF-21 - Registrar el identificador de microchip</t>
  </si>
  <si>
    <t xml:space="preserve">RF-21</t>
  </si>
  <si>
    <t xml:space="preserve">Should</t>
  </si>
  <si>
    <t xml:space="preserve">Pendiente</t>
  </si>
  <si>
    <t xml:space="preserve">SCRUM-18</t>
  </si>
  <si>
    <t xml:space="preserve">ST-08</t>
  </si>
  <si>
    <t xml:space="preserve">ST-08 RF-04 - Buscar y filtrar mascotas</t>
  </si>
  <si>
    <t xml:space="preserve">RF-04</t>
  </si>
  <si>
    <t xml:space="preserve">Observado</t>
  </si>
  <si>
    <t xml:space="preserve">SCRUM-19</t>
  </si>
  <si>
    <t xml:space="preserve">ST-09</t>
  </si>
  <si>
    <t xml:space="preserve">ST-09 RF-05 - Gestionar solicitudes de adopción</t>
  </si>
  <si>
    <t xml:space="preserve">RF-05</t>
  </si>
  <si>
    <t xml:space="preserve">SCRUM-20</t>
  </si>
  <si>
    <t xml:space="preserve">ST-10</t>
  </si>
  <si>
    <t xml:space="preserve">ST-10 RF-18 - Gestionar el flujo de solicitud de adopción por etapas</t>
  </si>
  <si>
    <t xml:space="preserve">RF-18</t>
  </si>
  <si>
    <t xml:space="preserve">SCRUM-21</t>
  </si>
  <si>
    <t xml:space="preserve">ST-11</t>
  </si>
  <si>
    <t xml:space="preserve">ST-11 RF-22 - Dar seguimiento post-adopción</t>
  </si>
  <si>
    <t xml:space="preserve">RF-22</t>
  </si>
  <si>
    <t xml:space="preserve">SCRUM-22</t>
  </si>
  <si>
    <t xml:space="preserve">ST-12</t>
  </si>
  <si>
    <t xml:space="preserve">ST-12 RF-25 - Publicar aviso de mascota extraviada</t>
  </si>
  <si>
    <t xml:space="preserve">RF-25</t>
  </si>
  <si>
    <t xml:space="preserve">Could</t>
  </si>
  <si>
    <t xml:space="preserve">kcontrerasc3</t>
  </si>
  <si>
    <t xml:space="preserve">SCRUM-23</t>
  </si>
  <si>
    <t xml:space="preserve">ST-13</t>
  </si>
  <si>
    <t xml:space="preserve">ST-13 RF-06 - Evaluar compatibilidad entre mascotas para cruza</t>
  </si>
  <si>
    <t xml:space="preserve">RF-06</t>
  </si>
  <si>
    <t xml:space="preserve">SCRUM-24</t>
  </si>
  <si>
    <t xml:space="preserve">ST-14</t>
  </si>
  <si>
    <t xml:space="preserve">ST-14 RF-08 - Gestionar solicitudes de cruza</t>
  </si>
  <si>
    <t xml:space="preserve">RF-08</t>
  </si>
  <si>
    <t xml:space="preserve">SCRUM-25</t>
  </si>
  <si>
    <t xml:space="preserve">ST-15</t>
  </si>
  <si>
    <t xml:space="preserve">ST-15 RF-19 - Validar certificados veterinarios antes de habilitar la cruza</t>
  </si>
  <si>
    <t xml:space="preserve">RF-19</t>
  </si>
  <si>
    <t xml:space="preserve">SCRUM-26</t>
  </si>
  <si>
    <t xml:space="preserve">ST-16</t>
  </si>
  <si>
    <t xml:space="preserve">ST-16 RF-23 - Emitir alertas de riesgo sanitario o físico</t>
  </si>
  <si>
    <t xml:space="preserve">RF-23</t>
  </si>
  <si>
    <t xml:space="preserve">SCRUM-27</t>
  </si>
  <si>
    <t xml:space="preserve">ST-17</t>
  </si>
  <si>
    <t xml:space="preserve">ST-17 RF-07 - Sistema de mensajería entre usuarios</t>
  </si>
  <si>
    <t xml:space="preserve">RF-07</t>
  </si>
  <si>
    <t xml:space="preserve">SCRUM-28</t>
  </si>
  <si>
    <t xml:space="preserve">ST-18</t>
  </si>
  <si>
    <t xml:space="preserve">ST-18 RF-11 - Administrar la privacidad de la información</t>
  </si>
  <si>
    <t xml:space="preserve">RF-11</t>
  </si>
  <si>
    <t xml:space="preserve">SCRUM-29</t>
  </si>
  <si>
    <t xml:space="preserve">ST-19</t>
  </si>
  <si>
    <t xml:space="preserve">ST-19 RF-12 - Verificar la identidad de los usuarios</t>
  </si>
  <si>
    <t xml:space="preserve">RF-12</t>
  </si>
  <si>
    <t xml:space="preserve">SCRUM-30</t>
  </si>
  <si>
    <t xml:space="preserve">ST-20</t>
  </si>
  <si>
    <t xml:space="preserve">ST-20 RF-20 - Coordinar encuentros de socialización supervisados</t>
  </si>
  <si>
    <t xml:space="preserve">RF-20</t>
  </si>
  <si>
    <t xml:space="preserve">SCRUM-31</t>
  </si>
  <si>
    <t xml:space="preserve">ST-21</t>
  </si>
  <si>
    <t xml:space="preserve">ST-21 RF-09 - Validar la información médica de una mascota</t>
  </si>
  <si>
    <t xml:space="preserve">RF-09</t>
  </si>
  <si>
    <t xml:space="preserve">SCRUM-32</t>
  </si>
  <si>
    <t xml:space="preserve">ST-22</t>
  </si>
  <si>
    <t xml:space="preserve">ST-22 RF-10 - Gestionar recordatorios de controles preventivos</t>
  </si>
  <si>
    <t xml:space="preserve">RF-10</t>
  </si>
  <si>
    <t xml:space="preserve">SCRUM-33</t>
  </si>
  <si>
    <t xml:space="preserve">ST-23</t>
  </si>
  <si>
    <t xml:space="preserve">ST-23 RF-15 - Consultar el historial de procesos de adopción y cruza</t>
  </si>
  <si>
    <t xml:space="preserve">RF-15</t>
  </si>
  <si>
    <t xml:space="preserve">SCRUM-34</t>
  </si>
  <si>
    <t xml:space="preserve">ST-24</t>
  </si>
  <si>
    <t xml:space="preserve">ST-24 RF-17 - Validar imágenes</t>
  </si>
  <si>
    <t xml:space="preserve">RF-17</t>
  </si>
  <si>
    <t xml:space="preserve">SCRUM-35</t>
  </si>
  <si>
    <t xml:space="preserve">ST-25</t>
  </si>
  <si>
    <t xml:space="preserve">ST-25 RF-24 - Registrar trazabilidad de cepa, lote y aplicador de cada vacuna</t>
  </si>
  <si>
    <t xml:space="preserve">RF-24</t>
  </si>
  <si>
    <t xml:space="preserve">SCRUM-36</t>
  </si>
  <si>
    <t xml:space="preserve">Subtarea</t>
  </si>
  <si>
    <t xml:space="preserve">ST-01.1</t>
  </si>
  <si>
    <t xml:space="preserve">ST-01.1 Implementar el formulario de registro de mascota con los campos requeridos</t>
  </si>
  <si>
    <t xml:space="preserve">SCRUM-37</t>
  </si>
  <si>
    <t xml:space="preserve">ST-01.2</t>
  </si>
  <si>
    <t xml:space="preserve">ST-01.2 Verificar el almacenamiento y la consulta posterior del perfil registrado</t>
  </si>
  <si>
    <t xml:space="preserve">SCRUM-38</t>
  </si>
  <si>
    <t xml:space="preserve">ST-05.1</t>
  </si>
  <si>
    <t xml:space="preserve">ST-05.1 Implementar el registro de vacunas y fechas correspondientes</t>
  </si>
  <si>
    <t xml:space="preserve">SCRUM-39</t>
  </si>
  <si>
    <t xml:space="preserve">ST-05.2</t>
  </si>
  <si>
    <t xml:space="preserve">ST-05.2 Verificar la visualización de la vacuna registrada en el carnet</t>
  </si>
  <si>
    <t xml:space="preserve">SCRUM-40</t>
  </si>
  <si>
    <t xml:space="preserve">ST-09.1</t>
  </si>
  <si>
    <t xml:space="preserve">ST-09.1 Implementar la creación y el almacenamiento de solicitudes de adopción</t>
  </si>
  <si>
    <t xml:space="preserve">SCRUM-41</t>
  </si>
  <si>
    <t xml:space="preserve">ST-09.2</t>
  </si>
  <si>
    <t xml:space="preserve">ST-09.2 Implementar y verificar las opciones de aceptación y rechazo</t>
  </si>
  <si>
    <t xml:space="preserve">SCRUM-42</t>
  </si>
  <si>
    <t xml:space="preserve">ST-13.1</t>
  </si>
  <si>
    <t xml:space="preserve">ST-13.1 Implementar la selección y comparación de las dos mascotas</t>
  </si>
  <si>
    <t xml:space="preserve">SCRUM-43</t>
  </si>
  <si>
    <t xml:space="preserve">ST-13.2</t>
  </si>
  <si>
    <t xml:space="preserve">ST-13.2 Verificar la presentación del resultado y la advertencia orientativa</t>
  </si>
  <si>
    <t xml:space="preserve">SCRUM-44</t>
  </si>
  <si>
    <t xml:space="preserve">ST-21.1</t>
  </si>
  <si>
    <t xml:space="preserve">ST-21.1 Implementar el proceso de revisión y validación veterinaria</t>
  </si>
  <si>
    <t xml:space="preserve">SCRUM-45</t>
  </si>
  <si>
    <t xml:space="preserve">ST-21.2</t>
  </si>
  <si>
    <t xml:space="preserve">ST-21.2 Verificar que el sistema muestre correctamente el estado de validación</t>
  </si>
  <si>
    <t xml:space="preserve">Resumen del tablero CASE de MundiPets</t>
  </si>
  <si>
    <t xml:space="preserve">Fuente: exportacion CSV del espacio Jira PE4_Fuertes_Contreras_Viteri (SCRUM-6 a SCRUM-45).</t>
  </si>
  <si>
    <t xml:space="preserve">Elemento</t>
  </si>
  <si>
    <t xml:space="preserve">Cantidad</t>
  </si>
  <si>
    <t xml:space="preserve">Minimo exigido</t>
  </si>
  <si>
    <t xml:space="preserve">Epics</t>
  </si>
  <si>
    <t xml:space="preserve">Stories</t>
  </si>
  <si>
    <t xml:space="preserve">Sub-tasks</t>
  </si>
  <si>
    <t xml:space="preserve">Total</t>
  </si>
  <si>
    <t xml:space="preserve">Distribucion por prioridad MoSCoW</t>
  </si>
  <si>
    <t xml:space="preserve">Distribucion por estado de verificacion</t>
  </si>
  <si>
    <t xml:space="preserve">Carga por integrante (todos los tipos)</t>
  </si>
  <si>
    <t xml:space="preserve">Sin asignar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</si>
</sst>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52CC"/>
        <bgColor rgb="FF3366FF"/>
      </patternFill>
    </fill>
    <fill>
      <patternFill patternType="solid">
        <fgColor rgb="FFEAE6FF"/>
        <bgColor rgb="FFE9F2FF"/>
      </patternFill>
    </fill>
    <fill>
      <patternFill patternType="solid">
        <fgColor rgb="FFE9F2FF"/>
        <bgColor rgb="FFF4F5F7"/>
      </patternFill>
    </fill>
    <fill>
      <patternFill patternType="solid">
        <fgColor rgb="FFF4F5F7"/>
        <bgColor rgb="FFE9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52CC"/>
          <bgColor rgb="FF000000"/>
        </patternFill>
      </fill>
    </dxf>
    <dxf>
      <fill>
        <patternFill patternType="solid">
          <fgColor rgb="FFE9F2FF"/>
          <bgColor rgb="FF000000"/>
        </patternFill>
      </fill>
    </dxf>
    <dxf>
      <fill>
        <patternFill patternType="solid">
          <fgColor rgb="FFEAE6FF"/>
          <bgColor rgb="FF000000"/>
        </patternFill>
      </fill>
    </dxf>
    <dxf>
      <fill>
        <patternFill patternType="solid">
          <fgColor rgb="FFF4F5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5F7"/>
      <rgbColor rgb="FFE9F2FF"/>
      <rgbColor rgb="FF660066"/>
      <rgbColor rgb="FFFF8080"/>
      <rgbColor rgb="FF0052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6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3" t="s">
        <v>14</v>
      </c>
      <c r="E2" s="2"/>
      <c r="F2" s="2"/>
      <c r="G2" s="2"/>
      <c r="H2" s="2"/>
      <c r="I2" s="2"/>
      <c r="J2" s="2"/>
      <c r="K2" s="2" t="s">
        <v>15</v>
      </c>
    </row>
    <row r="3" customFormat="false" ht="15" hidden="false" customHeight="false" outlineLevel="0" collapsed="false">
      <c r="A3" s="2" t="s">
        <v>16</v>
      </c>
      <c r="B3" s="2" t="s">
        <v>12</v>
      </c>
      <c r="C3" s="2" t="s">
        <v>17</v>
      </c>
      <c r="D3" s="3" t="s">
        <v>18</v>
      </c>
      <c r="E3" s="2"/>
      <c r="F3" s="2"/>
      <c r="G3" s="2"/>
      <c r="H3" s="2"/>
      <c r="I3" s="2"/>
      <c r="J3" s="2"/>
      <c r="K3" s="2" t="s">
        <v>15</v>
      </c>
    </row>
    <row r="4" customFormat="false" ht="15" hidden="false" customHeight="false" outlineLevel="0" collapsed="false">
      <c r="A4" s="2" t="s">
        <v>19</v>
      </c>
      <c r="B4" s="2" t="s">
        <v>12</v>
      </c>
      <c r="C4" s="2" t="s">
        <v>20</v>
      </c>
      <c r="D4" s="3" t="s">
        <v>21</v>
      </c>
      <c r="E4" s="2"/>
      <c r="F4" s="2"/>
      <c r="G4" s="2"/>
      <c r="H4" s="2"/>
      <c r="I4" s="2"/>
      <c r="J4" s="2"/>
      <c r="K4" s="2" t="s">
        <v>15</v>
      </c>
    </row>
    <row r="5" customFormat="false" ht="15" hidden="false" customHeight="false" outlineLevel="0" collapsed="false">
      <c r="A5" s="2" t="s">
        <v>22</v>
      </c>
      <c r="B5" s="2" t="s">
        <v>12</v>
      </c>
      <c r="C5" s="2" t="s">
        <v>23</v>
      </c>
      <c r="D5" s="3" t="s">
        <v>24</v>
      </c>
      <c r="E5" s="2"/>
      <c r="F5" s="2"/>
      <c r="G5" s="2"/>
      <c r="H5" s="2"/>
      <c r="I5" s="2"/>
      <c r="J5" s="2"/>
      <c r="K5" s="2" t="s">
        <v>15</v>
      </c>
    </row>
    <row r="6" customFormat="false" ht="15" hidden="false" customHeight="false" outlineLevel="0" collapsed="false">
      <c r="A6" s="2" t="s">
        <v>25</v>
      </c>
      <c r="B6" s="2" t="s">
        <v>12</v>
      </c>
      <c r="C6" s="2" t="s">
        <v>26</v>
      </c>
      <c r="D6" s="3" t="s">
        <v>27</v>
      </c>
      <c r="E6" s="2"/>
      <c r="F6" s="2"/>
      <c r="G6" s="2"/>
      <c r="H6" s="2"/>
      <c r="I6" s="2"/>
      <c r="J6" s="2"/>
      <c r="K6" s="2" t="s">
        <v>15</v>
      </c>
    </row>
    <row r="7" customFormat="false" ht="15" hidden="false" customHeight="false" outlineLevel="0" collapsed="false">
      <c r="A7" s="4" t="s">
        <v>28</v>
      </c>
      <c r="B7" s="4" t="s">
        <v>29</v>
      </c>
      <c r="C7" s="4" t="s">
        <v>30</v>
      </c>
      <c r="D7" s="5" t="s">
        <v>31</v>
      </c>
      <c r="E7" s="4" t="s">
        <v>32</v>
      </c>
      <c r="F7" s="4" t="s">
        <v>33</v>
      </c>
      <c r="G7" s="4" t="s">
        <v>34</v>
      </c>
      <c r="H7" s="4" t="s">
        <v>14</v>
      </c>
      <c r="I7" s="4" t="s">
        <v>11</v>
      </c>
      <c r="J7" s="4" t="s">
        <v>35</v>
      </c>
      <c r="K7" s="4" t="s">
        <v>15</v>
      </c>
    </row>
    <row r="8" customFormat="false" ht="15" hidden="false" customHeight="false" outlineLevel="0" collapsed="false">
      <c r="A8" s="4" t="s">
        <v>36</v>
      </c>
      <c r="B8" s="4" t="s">
        <v>29</v>
      </c>
      <c r="C8" s="4" t="s">
        <v>37</v>
      </c>
      <c r="D8" s="5" t="s">
        <v>38</v>
      </c>
      <c r="E8" s="4" t="s">
        <v>39</v>
      </c>
      <c r="F8" s="4" t="s">
        <v>33</v>
      </c>
      <c r="G8" s="4" t="s">
        <v>34</v>
      </c>
      <c r="H8" s="4" t="s">
        <v>14</v>
      </c>
      <c r="I8" s="4" t="s">
        <v>11</v>
      </c>
      <c r="J8" s="4" t="s">
        <v>35</v>
      </c>
      <c r="K8" s="4" t="s">
        <v>15</v>
      </c>
    </row>
    <row r="9" customFormat="false" ht="15" hidden="false" customHeight="false" outlineLevel="0" collapsed="false">
      <c r="A9" s="4" t="s">
        <v>40</v>
      </c>
      <c r="B9" s="4" t="s">
        <v>29</v>
      </c>
      <c r="C9" s="4" t="s">
        <v>41</v>
      </c>
      <c r="D9" s="5" t="s">
        <v>42</v>
      </c>
      <c r="E9" s="4" t="s">
        <v>43</v>
      </c>
      <c r="F9" s="4" t="s">
        <v>33</v>
      </c>
      <c r="G9" s="4" t="s">
        <v>34</v>
      </c>
      <c r="H9" s="4" t="s">
        <v>14</v>
      </c>
      <c r="I9" s="4" t="s">
        <v>11</v>
      </c>
      <c r="J9" s="4" t="s">
        <v>35</v>
      </c>
      <c r="K9" s="4" t="s">
        <v>15</v>
      </c>
    </row>
    <row r="10" customFormat="false" ht="15" hidden="false" customHeight="false" outlineLevel="0" collapsed="false">
      <c r="A10" s="4" t="s">
        <v>44</v>
      </c>
      <c r="B10" s="4" t="s">
        <v>29</v>
      </c>
      <c r="C10" s="4" t="s">
        <v>45</v>
      </c>
      <c r="D10" s="5" t="s">
        <v>46</v>
      </c>
      <c r="E10" s="4" t="s">
        <v>47</v>
      </c>
      <c r="F10" s="4" t="s">
        <v>33</v>
      </c>
      <c r="G10" s="4" t="s">
        <v>48</v>
      </c>
      <c r="H10" s="4" t="s">
        <v>14</v>
      </c>
      <c r="I10" s="4" t="s">
        <v>11</v>
      </c>
      <c r="J10" s="4" t="s">
        <v>49</v>
      </c>
      <c r="K10" s="4" t="s">
        <v>15</v>
      </c>
    </row>
    <row r="11" customFormat="false" ht="15" hidden="false" customHeight="false" outlineLevel="0" collapsed="false">
      <c r="A11" s="4" t="s">
        <v>50</v>
      </c>
      <c r="B11" s="4" t="s">
        <v>29</v>
      </c>
      <c r="C11" s="4" t="s">
        <v>51</v>
      </c>
      <c r="D11" s="5" t="s">
        <v>52</v>
      </c>
      <c r="E11" s="4" t="s">
        <v>53</v>
      </c>
      <c r="F11" s="4" t="s">
        <v>33</v>
      </c>
      <c r="G11" s="4" t="s">
        <v>34</v>
      </c>
      <c r="H11" s="4" t="s">
        <v>14</v>
      </c>
      <c r="I11" s="4" t="s">
        <v>11</v>
      </c>
      <c r="J11" s="4" t="s">
        <v>49</v>
      </c>
      <c r="K11" s="4" t="s">
        <v>15</v>
      </c>
    </row>
    <row r="12" customFormat="false" ht="15" hidden="false" customHeight="false" outlineLevel="0" collapsed="false">
      <c r="A12" s="4" t="s">
        <v>54</v>
      </c>
      <c r="B12" s="4" t="s">
        <v>29</v>
      </c>
      <c r="C12" s="4" t="s">
        <v>55</v>
      </c>
      <c r="D12" s="5" t="s">
        <v>56</v>
      </c>
      <c r="E12" s="4" t="s">
        <v>57</v>
      </c>
      <c r="F12" s="4" t="s">
        <v>33</v>
      </c>
      <c r="G12" s="4" t="s">
        <v>48</v>
      </c>
      <c r="H12" s="4" t="s">
        <v>14</v>
      </c>
      <c r="I12" s="4" t="s">
        <v>11</v>
      </c>
      <c r="J12" s="4" t="s">
        <v>49</v>
      </c>
      <c r="K12" s="4" t="s">
        <v>15</v>
      </c>
    </row>
    <row r="13" customFormat="false" ht="15" hidden="false" customHeight="false" outlineLevel="0" collapsed="false">
      <c r="A13" s="4" t="s">
        <v>58</v>
      </c>
      <c r="B13" s="4" t="s">
        <v>29</v>
      </c>
      <c r="C13" s="4" t="s">
        <v>59</v>
      </c>
      <c r="D13" s="5" t="s">
        <v>60</v>
      </c>
      <c r="E13" s="4" t="s">
        <v>61</v>
      </c>
      <c r="F13" s="4" t="s">
        <v>62</v>
      </c>
      <c r="G13" s="4" t="s">
        <v>63</v>
      </c>
      <c r="H13" s="4" t="s">
        <v>14</v>
      </c>
      <c r="I13" s="4" t="s">
        <v>11</v>
      </c>
      <c r="J13" s="4" t="s">
        <v>49</v>
      </c>
      <c r="K13" s="4" t="s">
        <v>15</v>
      </c>
    </row>
    <row r="14" customFormat="false" ht="15" hidden="false" customHeight="false" outlineLevel="0" collapsed="false">
      <c r="A14" s="4" t="s">
        <v>64</v>
      </c>
      <c r="B14" s="4" t="s">
        <v>29</v>
      </c>
      <c r="C14" s="4" t="s">
        <v>65</v>
      </c>
      <c r="D14" s="5" t="s">
        <v>66</v>
      </c>
      <c r="E14" s="4" t="s">
        <v>67</v>
      </c>
      <c r="F14" s="4" t="s">
        <v>62</v>
      </c>
      <c r="G14" s="4" t="s">
        <v>68</v>
      </c>
      <c r="H14" s="4" t="s">
        <v>18</v>
      </c>
      <c r="I14" s="4" t="s">
        <v>16</v>
      </c>
      <c r="J14" s="4" t="s">
        <v>35</v>
      </c>
      <c r="K14" s="4" t="s">
        <v>15</v>
      </c>
    </row>
    <row r="15" customFormat="false" ht="15" hidden="false" customHeight="false" outlineLevel="0" collapsed="false">
      <c r="A15" s="4" t="s">
        <v>69</v>
      </c>
      <c r="B15" s="4" t="s">
        <v>29</v>
      </c>
      <c r="C15" s="4" t="s">
        <v>70</v>
      </c>
      <c r="D15" s="5" t="s">
        <v>71</v>
      </c>
      <c r="E15" s="4" t="s">
        <v>72</v>
      </c>
      <c r="F15" s="4" t="s">
        <v>33</v>
      </c>
      <c r="G15" s="4" t="s">
        <v>34</v>
      </c>
      <c r="H15" s="4" t="s">
        <v>18</v>
      </c>
      <c r="I15" s="4" t="s">
        <v>16</v>
      </c>
      <c r="J15" s="4" t="s">
        <v>35</v>
      </c>
      <c r="K15" s="4" t="s">
        <v>15</v>
      </c>
    </row>
    <row r="16" customFormat="false" ht="23.85" hidden="false" customHeight="false" outlineLevel="0" collapsed="false">
      <c r="A16" s="4" t="s">
        <v>73</v>
      </c>
      <c r="B16" s="4" t="s">
        <v>29</v>
      </c>
      <c r="C16" s="4" t="s">
        <v>74</v>
      </c>
      <c r="D16" s="5" t="s">
        <v>75</v>
      </c>
      <c r="E16" s="4" t="s">
        <v>76</v>
      </c>
      <c r="F16" s="4" t="s">
        <v>33</v>
      </c>
      <c r="G16" s="4" t="s">
        <v>48</v>
      </c>
      <c r="H16" s="4" t="s">
        <v>18</v>
      </c>
      <c r="I16" s="4" t="s">
        <v>16</v>
      </c>
      <c r="J16" s="4" t="s">
        <v>35</v>
      </c>
      <c r="K16" s="4" t="s">
        <v>15</v>
      </c>
    </row>
    <row r="17" customFormat="false" ht="15" hidden="false" customHeight="false" outlineLevel="0" collapsed="false">
      <c r="A17" s="4" t="s">
        <v>77</v>
      </c>
      <c r="B17" s="4" t="s">
        <v>29</v>
      </c>
      <c r="C17" s="4" t="s">
        <v>78</v>
      </c>
      <c r="D17" s="5" t="s">
        <v>79</v>
      </c>
      <c r="E17" s="4" t="s">
        <v>80</v>
      </c>
      <c r="F17" s="4" t="s">
        <v>33</v>
      </c>
      <c r="G17" s="4" t="s">
        <v>63</v>
      </c>
      <c r="H17" s="4" t="s">
        <v>18</v>
      </c>
      <c r="I17" s="4" t="s">
        <v>16</v>
      </c>
      <c r="J17" s="4" t="s">
        <v>35</v>
      </c>
      <c r="K17" s="4" t="s">
        <v>15</v>
      </c>
    </row>
    <row r="18" customFormat="false" ht="15" hidden="false" customHeight="false" outlineLevel="0" collapsed="false">
      <c r="A18" s="4" t="s">
        <v>81</v>
      </c>
      <c r="B18" s="4" t="s">
        <v>29</v>
      </c>
      <c r="C18" s="4" t="s">
        <v>82</v>
      </c>
      <c r="D18" s="5" t="s">
        <v>83</v>
      </c>
      <c r="E18" s="4" t="s">
        <v>84</v>
      </c>
      <c r="F18" s="4" t="s">
        <v>85</v>
      </c>
      <c r="G18" s="4" t="s">
        <v>68</v>
      </c>
      <c r="H18" s="4" t="s">
        <v>18</v>
      </c>
      <c r="I18" s="4" t="s">
        <v>16</v>
      </c>
      <c r="J18" s="4" t="s">
        <v>86</v>
      </c>
      <c r="K18" s="4" t="s">
        <v>15</v>
      </c>
    </row>
    <row r="19" customFormat="false" ht="23.85" hidden="false" customHeight="false" outlineLevel="0" collapsed="false">
      <c r="A19" s="4" t="s">
        <v>87</v>
      </c>
      <c r="B19" s="4" t="s">
        <v>29</v>
      </c>
      <c r="C19" s="4" t="s">
        <v>88</v>
      </c>
      <c r="D19" s="5" t="s">
        <v>89</v>
      </c>
      <c r="E19" s="4" t="s">
        <v>90</v>
      </c>
      <c r="F19" s="4" t="s">
        <v>33</v>
      </c>
      <c r="G19" s="4" t="s">
        <v>68</v>
      </c>
      <c r="H19" s="4" t="s">
        <v>21</v>
      </c>
      <c r="I19" s="4" t="s">
        <v>19</v>
      </c>
      <c r="J19" s="4" t="s">
        <v>86</v>
      </c>
      <c r="K19" s="4" t="s">
        <v>15</v>
      </c>
    </row>
    <row r="20" customFormat="false" ht="15" hidden="false" customHeight="false" outlineLevel="0" collapsed="false">
      <c r="A20" s="4" t="s">
        <v>91</v>
      </c>
      <c r="B20" s="4" t="s">
        <v>29</v>
      </c>
      <c r="C20" s="4" t="s">
        <v>92</v>
      </c>
      <c r="D20" s="5" t="s">
        <v>93</v>
      </c>
      <c r="E20" s="4" t="s">
        <v>94</v>
      </c>
      <c r="F20" s="4" t="s">
        <v>33</v>
      </c>
      <c r="G20" s="4" t="s">
        <v>34</v>
      </c>
      <c r="H20" s="4" t="s">
        <v>21</v>
      </c>
      <c r="I20" s="4" t="s">
        <v>19</v>
      </c>
      <c r="J20" s="4" t="s">
        <v>49</v>
      </c>
      <c r="K20" s="4" t="s">
        <v>15</v>
      </c>
    </row>
    <row r="21" customFormat="false" ht="23.85" hidden="false" customHeight="false" outlineLevel="0" collapsed="false">
      <c r="A21" s="4" t="s">
        <v>95</v>
      </c>
      <c r="B21" s="4" t="s">
        <v>29</v>
      </c>
      <c r="C21" s="4" t="s">
        <v>96</v>
      </c>
      <c r="D21" s="5" t="s">
        <v>97</v>
      </c>
      <c r="E21" s="4" t="s">
        <v>98</v>
      </c>
      <c r="F21" s="4" t="s">
        <v>62</v>
      </c>
      <c r="G21" s="4" t="s">
        <v>68</v>
      </c>
      <c r="H21" s="4" t="s">
        <v>21</v>
      </c>
      <c r="I21" s="4" t="s">
        <v>19</v>
      </c>
      <c r="J21" s="4" t="s">
        <v>49</v>
      </c>
      <c r="K21" s="4" t="s">
        <v>15</v>
      </c>
    </row>
    <row r="22" customFormat="false" ht="15" hidden="false" customHeight="false" outlineLevel="0" collapsed="false">
      <c r="A22" s="4" t="s">
        <v>99</v>
      </c>
      <c r="B22" s="4" t="s">
        <v>29</v>
      </c>
      <c r="C22" s="4" t="s">
        <v>100</v>
      </c>
      <c r="D22" s="5" t="s">
        <v>101</v>
      </c>
      <c r="E22" s="4" t="s">
        <v>102</v>
      </c>
      <c r="F22" s="4" t="s">
        <v>33</v>
      </c>
      <c r="G22" s="4" t="s">
        <v>63</v>
      </c>
      <c r="H22" s="4" t="s">
        <v>21</v>
      </c>
      <c r="I22" s="4" t="s">
        <v>19</v>
      </c>
      <c r="J22" s="4" t="s">
        <v>35</v>
      </c>
      <c r="K22" s="4" t="s">
        <v>15</v>
      </c>
    </row>
    <row r="23" customFormat="false" ht="15" hidden="false" customHeight="false" outlineLevel="0" collapsed="false">
      <c r="A23" s="4" t="s">
        <v>103</v>
      </c>
      <c r="B23" s="4" t="s">
        <v>29</v>
      </c>
      <c r="C23" s="4" t="s">
        <v>104</v>
      </c>
      <c r="D23" s="5" t="s">
        <v>105</v>
      </c>
      <c r="E23" s="4" t="s">
        <v>106</v>
      </c>
      <c r="F23" s="4" t="s">
        <v>85</v>
      </c>
      <c r="G23" s="4" t="s">
        <v>68</v>
      </c>
      <c r="H23" s="4" t="s">
        <v>24</v>
      </c>
      <c r="I23" s="4" t="s">
        <v>22</v>
      </c>
      <c r="J23" s="4" t="s">
        <v>86</v>
      </c>
      <c r="K23" s="4" t="s">
        <v>15</v>
      </c>
    </row>
    <row r="24" customFormat="false" ht="15" hidden="false" customHeight="false" outlineLevel="0" collapsed="false">
      <c r="A24" s="4" t="s">
        <v>107</v>
      </c>
      <c r="B24" s="4" t="s">
        <v>29</v>
      </c>
      <c r="C24" s="4" t="s">
        <v>108</v>
      </c>
      <c r="D24" s="5" t="s">
        <v>109</v>
      </c>
      <c r="E24" s="4" t="s">
        <v>110</v>
      </c>
      <c r="F24" s="4" t="s">
        <v>33</v>
      </c>
      <c r="G24" s="4" t="s">
        <v>48</v>
      </c>
      <c r="H24" s="4" t="s">
        <v>24</v>
      </c>
      <c r="I24" s="4" t="s">
        <v>22</v>
      </c>
      <c r="J24" s="4" t="s">
        <v>86</v>
      </c>
      <c r="K24" s="4" t="s">
        <v>15</v>
      </c>
    </row>
    <row r="25" customFormat="false" ht="15" hidden="false" customHeight="false" outlineLevel="0" collapsed="false">
      <c r="A25" s="4" t="s">
        <v>111</v>
      </c>
      <c r="B25" s="4" t="s">
        <v>29</v>
      </c>
      <c r="C25" s="4" t="s">
        <v>112</v>
      </c>
      <c r="D25" s="5" t="s">
        <v>113</v>
      </c>
      <c r="E25" s="4" t="s">
        <v>114</v>
      </c>
      <c r="F25" s="4" t="s">
        <v>33</v>
      </c>
      <c r="G25" s="4" t="s">
        <v>68</v>
      </c>
      <c r="H25" s="4" t="s">
        <v>24</v>
      </c>
      <c r="I25" s="4" t="s">
        <v>22</v>
      </c>
      <c r="J25" s="4" t="s">
        <v>86</v>
      </c>
      <c r="K25" s="4" t="s">
        <v>15</v>
      </c>
    </row>
    <row r="26" customFormat="false" ht="23.85" hidden="false" customHeight="false" outlineLevel="0" collapsed="false">
      <c r="A26" s="4" t="s">
        <v>115</v>
      </c>
      <c r="B26" s="4" t="s">
        <v>29</v>
      </c>
      <c r="C26" s="4" t="s">
        <v>116</v>
      </c>
      <c r="D26" s="5" t="s">
        <v>117</v>
      </c>
      <c r="E26" s="4" t="s">
        <v>118</v>
      </c>
      <c r="F26" s="4" t="s">
        <v>85</v>
      </c>
      <c r="G26" s="4" t="s">
        <v>68</v>
      </c>
      <c r="H26" s="4" t="s">
        <v>24</v>
      </c>
      <c r="I26" s="4" t="s">
        <v>22</v>
      </c>
      <c r="J26" s="4" t="s">
        <v>49</v>
      </c>
      <c r="K26" s="4" t="s">
        <v>15</v>
      </c>
    </row>
    <row r="27" customFormat="false" ht="15" hidden="false" customHeight="false" outlineLevel="0" collapsed="false">
      <c r="A27" s="4" t="s">
        <v>119</v>
      </c>
      <c r="B27" s="4" t="s">
        <v>29</v>
      </c>
      <c r="C27" s="4" t="s">
        <v>120</v>
      </c>
      <c r="D27" s="5" t="s">
        <v>121</v>
      </c>
      <c r="E27" s="4" t="s">
        <v>122</v>
      </c>
      <c r="F27" s="4" t="s">
        <v>33</v>
      </c>
      <c r="G27" s="4" t="s">
        <v>34</v>
      </c>
      <c r="H27" s="4" t="s">
        <v>27</v>
      </c>
      <c r="I27" s="4" t="s">
        <v>25</v>
      </c>
      <c r="J27" s="4" t="s">
        <v>86</v>
      </c>
      <c r="K27" s="4" t="s">
        <v>15</v>
      </c>
    </row>
    <row r="28" customFormat="false" ht="15" hidden="false" customHeight="false" outlineLevel="0" collapsed="false">
      <c r="A28" s="4" t="s">
        <v>123</v>
      </c>
      <c r="B28" s="4" t="s">
        <v>29</v>
      </c>
      <c r="C28" s="4" t="s">
        <v>124</v>
      </c>
      <c r="D28" s="5" t="s">
        <v>125</v>
      </c>
      <c r="E28" s="4" t="s">
        <v>126</v>
      </c>
      <c r="F28" s="4" t="s">
        <v>62</v>
      </c>
      <c r="G28" s="4" t="s">
        <v>68</v>
      </c>
      <c r="H28" s="4" t="s">
        <v>27</v>
      </c>
      <c r="I28" s="4" t="s">
        <v>25</v>
      </c>
      <c r="J28" s="4" t="s">
        <v>49</v>
      </c>
      <c r="K28" s="4" t="s">
        <v>15</v>
      </c>
    </row>
    <row r="29" customFormat="false" ht="23.85" hidden="false" customHeight="false" outlineLevel="0" collapsed="false">
      <c r="A29" s="4" t="s">
        <v>127</v>
      </c>
      <c r="B29" s="4" t="s">
        <v>29</v>
      </c>
      <c r="C29" s="4" t="s">
        <v>128</v>
      </c>
      <c r="D29" s="5" t="s">
        <v>129</v>
      </c>
      <c r="E29" s="4" t="s">
        <v>130</v>
      </c>
      <c r="F29" s="4" t="s">
        <v>85</v>
      </c>
      <c r="G29" s="4" t="s">
        <v>68</v>
      </c>
      <c r="H29" s="4" t="s">
        <v>27</v>
      </c>
      <c r="I29" s="4" t="s">
        <v>25</v>
      </c>
      <c r="J29" s="4" t="s">
        <v>49</v>
      </c>
      <c r="K29" s="4" t="s">
        <v>15</v>
      </c>
    </row>
    <row r="30" customFormat="false" ht="15" hidden="false" customHeight="false" outlineLevel="0" collapsed="false">
      <c r="A30" s="4" t="s">
        <v>131</v>
      </c>
      <c r="B30" s="4" t="s">
        <v>29</v>
      </c>
      <c r="C30" s="4" t="s">
        <v>132</v>
      </c>
      <c r="D30" s="5" t="s">
        <v>133</v>
      </c>
      <c r="E30" s="4" t="s">
        <v>134</v>
      </c>
      <c r="F30" s="4" t="s">
        <v>62</v>
      </c>
      <c r="G30" s="4" t="s">
        <v>68</v>
      </c>
      <c r="H30" s="4" t="s">
        <v>27</v>
      </c>
      <c r="I30" s="4" t="s">
        <v>25</v>
      </c>
      <c r="J30" s="4" t="s">
        <v>86</v>
      </c>
      <c r="K30" s="4" t="s">
        <v>15</v>
      </c>
    </row>
    <row r="31" customFormat="false" ht="23.85" hidden="false" customHeight="false" outlineLevel="0" collapsed="false">
      <c r="A31" s="4" t="s">
        <v>135</v>
      </c>
      <c r="B31" s="4" t="s">
        <v>29</v>
      </c>
      <c r="C31" s="4" t="s">
        <v>136</v>
      </c>
      <c r="D31" s="5" t="s">
        <v>137</v>
      </c>
      <c r="E31" s="4" t="s">
        <v>138</v>
      </c>
      <c r="F31" s="4" t="s">
        <v>62</v>
      </c>
      <c r="G31" s="4" t="s">
        <v>68</v>
      </c>
      <c r="H31" s="4" t="s">
        <v>27</v>
      </c>
      <c r="I31" s="4" t="s">
        <v>25</v>
      </c>
      <c r="J31" s="4" t="s">
        <v>86</v>
      </c>
      <c r="K31" s="4" t="s">
        <v>15</v>
      </c>
    </row>
    <row r="32" customFormat="false" ht="23.85" hidden="false" customHeight="false" outlineLevel="0" collapsed="false">
      <c r="A32" s="6" t="s">
        <v>139</v>
      </c>
      <c r="B32" s="6" t="s">
        <v>140</v>
      </c>
      <c r="C32" s="6" t="s">
        <v>141</v>
      </c>
      <c r="D32" s="7" t="s">
        <v>142</v>
      </c>
      <c r="E32" s="6" t="s">
        <v>32</v>
      </c>
      <c r="F32" s="6"/>
      <c r="G32" s="6"/>
      <c r="H32" s="6" t="s">
        <v>31</v>
      </c>
      <c r="I32" s="6" t="s">
        <v>28</v>
      </c>
      <c r="J32" s="6"/>
      <c r="K32" s="6" t="s">
        <v>15</v>
      </c>
    </row>
    <row r="33" customFormat="false" ht="23.85" hidden="false" customHeight="false" outlineLevel="0" collapsed="false">
      <c r="A33" s="6" t="s">
        <v>143</v>
      </c>
      <c r="B33" s="6" t="s">
        <v>140</v>
      </c>
      <c r="C33" s="6" t="s">
        <v>144</v>
      </c>
      <c r="D33" s="7" t="s">
        <v>145</v>
      </c>
      <c r="E33" s="6" t="s">
        <v>32</v>
      </c>
      <c r="F33" s="6"/>
      <c r="G33" s="6"/>
      <c r="H33" s="6" t="s">
        <v>31</v>
      </c>
      <c r="I33" s="6" t="s">
        <v>28</v>
      </c>
      <c r="J33" s="6"/>
      <c r="K33" s="6" t="s">
        <v>15</v>
      </c>
    </row>
    <row r="34" customFormat="false" ht="23.85" hidden="false" customHeight="false" outlineLevel="0" collapsed="false">
      <c r="A34" s="6" t="s">
        <v>146</v>
      </c>
      <c r="B34" s="6" t="s">
        <v>140</v>
      </c>
      <c r="C34" s="6" t="s">
        <v>147</v>
      </c>
      <c r="D34" s="7" t="s">
        <v>148</v>
      </c>
      <c r="E34" s="6" t="s">
        <v>53</v>
      </c>
      <c r="F34" s="6"/>
      <c r="G34" s="6"/>
      <c r="H34" s="6" t="s">
        <v>52</v>
      </c>
      <c r="I34" s="6" t="s">
        <v>50</v>
      </c>
      <c r="J34" s="6"/>
      <c r="K34" s="6" t="s">
        <v>15</v>
      </c>
    </row>
    <row r="35" customFormat="false" ht="23.85" hidden="false" customHeight="false" outlineLevel="0" collapsed="false">
      <c r="A35" s="6" t="s">
        <v>149</v>
      </c>
      <c r="B35" s="6" t="s">
        <v>140</v>
      </c>
      <c r="C35" s="6" t="s">
        <v>150</v>
      </c>
      <c r="D35" s="7" t="s">
        <v>151</v>
      </c>
      <c r="E35" s="6" t="s">
        <v>53</v>
      </c>
      <c r="F35" s="6"/>
      <c r="G35" s="6"/>
      <c r="H35" s="6" t="s">
        <v>52</v>
      </c>
      <c r="I35" s="6" t="s">
        <v>50</v>
      </c>
      <c r="J35" s="6"/>
      <c r="K35" s="6" t="s">
        <v>15</v>
      </c>
    </row>
    <row r="36" customFormat="false" ht="23.85" hidden="false" customHeight="false" outlineLevel="0" collapsed="false">
      <c r="A36" s="6" t="s">
        <v>152</v>
      </c>
      <c r="B36" s="6" t="s">
        <v>140</v>
      </c>
      <c r="C36" s="6" t="s">
        <v>153</v>
      </c>
      <c r="D36" s="7" t="s">
        <v>154</v>
      </c>
      <c r="E36" s="6" t="s">
        <v>72</v>
      </c>
      <c r="F36" s="6"/>
      <c r="G36" s="6"/>
      <c r="H36" s="6" t="s">
        <v>71</v>
      </c>
      <c r="I36" s="6" t="s">
        <v>69</v>
      </c>
      <c r="J36" s="6"/>
      <c r="K36" s="6" t="s">
        <v>15</v>
      </c>
    </row>
    <row r="37" customFormat="false" ht="23.85" hidden="false" customHeight="false" outlineLevel="0" collapsed="false">
      <c r="A37" s="6" t="s">
        <v>155</v>
      </c>
      <c r="B37" s="6" t="s">
        <v>140</v>
      </c>
      <c r="C37" s="6" t="s">
        <v>156</v>
      </c>
      <c r="D37" s="7" t="s">
        <v>157</v>
      </c>
      <c r="E37" s="6" t="s">
        <v>72</v>
      </c>
      <c r="F37" s="6"/>
      <c r="G37" s="6"/>
      <c r="H37" s="6" t="s">
        <v>71</v>
      </c>
      <c r="I37" s="6" t="s">
        <v>69</v>
      </c>
      <c r="J37" s="6"/>
      <c r="K37" s="6" t="s">
        <v>15</v>
      </c>
    </row>
    <row r="38" customFormat="false" ht="23.85" hidden="false" customHeight="false" outlineLevel="0" collapsed="false">
      <c r="A38" s="6" t="s">
        <v>158</v>
      </c>
      <c r="B38" s="6" t="s">
        <v>140</v>
      </c>
      <c r="C38" s="6" t="s">
        <v>159</v>
      </c>
      <c r="D38" s="7" t="s">
        <v>160</v>
      </c>
      <c r="E38" s="6" t="s">
        <v>90</v>
      </c>
      <c r="F38" s="6"/>
      <c r="G38" s="6"/>
      <c r="H38" s="6" t="s">
        <v>89</v>
      </c>
      <c r="I38" s="6" t="s">
        <v>87</v>
      </c>
      <c r="J38" s="6"/>
      <c r="K38" s="6" t="s">
        <v>15</v>
      </c>
    </row>
    <row r="39" customFormat="false" ht="23.85" hidden="false" customHeight="false" outlineLevel="0" collapsed="false">
      <c r="A39" s="6" t="s">
        <v>161</v>
      </c>
      <c r="B39" s="6" t="s">
        <v>140</v>
      </c>
      <c r="C39" s="6" t="s">
        <v>162</v>
      </c>
      <c r="D39" s="7" t="s">
        <v>163</v>
      </c>
      <c r="E39" s="6" t="s">
        <v>90</v>
      </c>
      <c r="F39" s="6"/>
      <c r="G39" s="6"/>
      <c r="H39" s="6" t="s">
        <v>89</v>
      </c>
      <c r="I39" s="6" t="s">
        <v>87</v>
      </c>
      <c r="J39" s="6"/>
      <c r="K39" s="6" t="s">
        <v>15</v>
      </c>
    </row>
    <row r="40" customFormat="false" ht="23.85" hidden="false" customHeight="false" outlineLevel="0" collapsed="false">
      <c r="A40" s="6" t="s">
        <v>164</v>
      </c>
      <c r="B40" s="6" t="s">
        <v>140</v>
      </c>
      <c r="C40" s="6" t="s">
        <v>165</v>
      </c>
      <c r="D40" s="7" t="s">
        <v>166</v>
      </c>
      <c r="E40" s="6" t="s">
        <v>122</v>
      </c>
      <c r="F40" s="6"/>
      <c r="G40" s="6"/>
      <c r="H40" s="6" t="s">
        <v>121</v>
      </c>
      <c r="I40" s="6" t="s">
        <v>119</v>
      </c>
      <c r="J40" s="6"/>
      <c r="K40" s="6" t="s">
        <v>15</v>
      </c>
    </row>
    <row r="41" customFormat="false" ht="23.85" hidden="false" customHeight="false" outlineLevel="0" collapsed="false">
      <c r="A41" s="6" t="s">
        <v>167</v>
      </c>
      <c r="B41" s="6" t="s">
        <v>140</v>
      </c>
      <c r="C41" s="6" t="s">
        <v>168</v>
      </c>
      <c r="D41" s="7" t="s">
        <v>169</v>
      </c>
      <c r="E41" s="6" t="s">
        <v>122</v>
      </c>
      <c r="F41" s="6"/>
      <c r="G41" s="6"/>
      <c r="H41" s="6" t="s">
        <v>121</v>
      </c>
      <c r="I41" s="6" t="s">
        <v>119</v>
      </c>
      <c r="J41" s="6"/>
      <c r="K41" s="6" t="s">
        <v>15</v>
      </c>
    </row>
  </sheetData>
  <autoFilter ref="A1:K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8" t="s">
        <v>170</v>
      </c>
      <c r="B1" s="9"/>
      <c r="C1" s="9"/>
    </row>
    <row r="2" customFormat="false" ht="15" hidden="false" customHeight="false" outlineLevel="0" collapsed="false">
      <c r="A2" s="9" t="s">
        <v>171</v>
      </c>
      <c r="B2" s="9"/>
      <c r="C2" s="9"/>
    </row>
    <row r="3" customFormat="false" ht="15" hidden="false" customHeight="false" outlineLevel="0" collapsed="false">
      <c r="A3" s="9"/>
      <c r="B3" s="9"/>
      <c r="C3" s="9"/>
    </row>
    <row r="4" customFormat="false" ht="15" hidden="false" customHeight="false" outlineLevel="0" collapsed="false">
      <c r="A4" s="10" t="s">
        <v>172</v>
      </c>
      <c r="B4" s="10" t="s">
        <v>173</v>
      </c>
      <c r="C4" s="10" t="s">
        <v>174</v>
      </c>
    </row>
    <row r="5" customFormat="false" ht="15" hidden="false" customHeight="false" outlineLevel="0" collapsed="false">
      <c r="A5" s="9" t="s">
        <v>175</v>
      </c>
      <c r="B5" s="9" t="n">
        <f aca="false">COUNTIF(Backlog!$B$2:$B$41,"Epic")</f>
        <v>5</v>
      </c>
      <c r="C5" s="9" t="n">
        <v>5</v>
      </c>
    </row>
    <row r="6" customFormat="false" ht="15" hidden="false" customHeight="false" outlineLevel="0" collapsed="false">
      <c r="A6" s="9" t="s">
        <v>176</v>
      </c>
      <c r="B6" s="9" t="n">
        <f aca="false">COUNTIF(Backlog!$B$2:$B$41,"Historia")</f>
        <v>25</v>
      </c>
      <c r="C6" s="9" t="n">
        <v>15</v>
      </c>
    </row>
    <row r="7" customFormat="false" ht="15" hidden="false" customHeight="false" outlineLevel="0" collapsed="false">
      <c r="A7" s="9" t="s">
        <v>177</v>
      </c>
      <c r="B7" s="9" t="n">
        <f aca="false">COUNTIF(Backlog!$B$2:$B$41,"Subtarea")</f>
        <v>10</v>
      </c>
      <c r="C7" s="9" t="n">
        <v>10</v>
      </c>
    </row>
    <row r="8" customFormat="false" ht="15" hidden="false" customHeight="false" outlineLevel="0" collapsed="false">
      <c r="A8" s="9" t="s">
        <v>178</v>
      </c>
      <c r="B8" s="9" t="n">
        <f aca="false">SUM(B5:B7)</f>
        <v>40</v>
      </c>
      <c r="C8" s="9"/>
    </row>
    <row r="9" customFormat="false" ht="15" hidden="false" customHeight="false" outlineLevel="0" collapsed="false">
      <c r="A9" s="9"/>
      <c r="B9" s="9"/>
      <c r="C9" s="9"/>
    </row>
    <row r="10" customFormat="false" ht="15" hidden="false" customHeight="false" outlineLevel="0" collapsed="false">
      <c r="A10" s="11" t="s">
        <v>179</v>
      </c>
      <c r="B10" s="9"/>
      <c r="C10" s="9"/>
    </row>
    <row r="11" customFormat="false" ht="15" hidden="false" customHeight="false" outlineLevel="0" collapsed="false">
      <c r="A11" s="9" t="s">
        <v>33</v>
      </c>
      <c r="B11" s="9" t="n">
        <f aca="false">COUNTIFS(Backlog!$B$2:$B$41,"Historia",Backlog!$F$2:$F$41,A11)</f>
        <v>15</v>
      </c>
      <c r="C11" s="9"/>
    </row>
    <row r="12" customFormat="false" ht="15" hidden="false" customHeight="false" outlineLevel="0" collapsed="false">
      <c r="A12" s="9" t="s">
        <v>62</v>
      </c>
      <c r="B12" s="9" t="n">
        <f aca="false">COUNTIFS(Backlog!$B$2:$B$41,"Historia",Backlog!$F$2:$F$41,A12)</f>
        <v>6</v>
      </c>
      <c r="C12" s="9"/>
    </row>
    <row r="13" customFormat="false" ht="15" hidden="false" customHeight="false" outlineLevel="0" collapsed="false">
      <c r="A13" s="9" t="s">
        <v>85</v>
      </c>
      <c r="B13" s="9" t="n">
        <f aca="false">COUNTIFS(Backlog!$B$2:$B$41,"Historia",Backlog!$F$2:$F$41,A13)</f>
        <v>4</v>
      </c>
      <c r="C13" s="9"/>
    </row>
    <row r="14" customFormat="false" ht="15" hidden="false" customHeight="false" outlineLevel="0" collapsed="false">
      <c r="A14" s="9"/>
      <c r="B14" s="9"/>
      <c r="C14" s="9"/>
    </row>
    <row r="15" customFormat="false" ht="15" hidden="false" customHeight="false" outlineLevel="0" collapsed="false">
      <c r="A15" s="11" t="s">
        <v>180</v>
      </c>
      <c r="B15" s="9"/>
      <c r="C15" s="9"/>
    </row>
    <row r="16" customFormat="false" ht="15" hidden="false" customHeight="false" outlineLevel="0" collapsed="false">
      <c r="A16" s="9" t="s">
        <v>34</v>
      </c>
      <c r="B16" s="9" t="n">
        <f aca="false">COUNTIFS(Backlog!$B$2:$B$41,"Historia",Backlog!$G$2:$G$41,A16)</f>
        <v>7</v>
      </c>
      <c r="C16" s="9"/>
    </row>
    <row r="17" customFormat="false" ht="15" hidden="false" customHeight="false" outlineLevel="0" collapsed="false">
      <c r="A17" s="9" t="s">
        <v>48</v>
      </c>
      <c r="B17" s="9" t="n">
        <f aca="false">COUNTIFS(Backlog!$B$2:$B$41,"Historia",Backlog!$G$2:$G$41,A17)</f>
        <v>4</v>
      </c>
      <c r="C17" s="9"/>
    </row>
    <row r="18" customFormat="false" ht="15" hidden="false" customHeight="false" outlineLevel="0" collapsed="false">
      <c r="A18" s="9" t="s">
        <v>63</v>
      </c>
      <c r="B18" s="9" t="n">
        <f aca="false">COUNTIFS(Backlog!$B$2:$B$41,"Historia",Backlog!$G$2:$G$41,A18)</f>
        <v>3</v>
      </c>
      <c r="C18" s="9"/>
    </row>
    <row r="19" customFormat="false" ht="15" hidden="false" customHeight="false" outlineLevel="0" collapsed="false">
      <c r="A19" s="9" t="s">
        <v>68</v>
      </c>
      <c r="B19" s="9" t="n">
        <f aca="false">COUNTIFS(Backlog!$B$2:$B$41,"Historia",Backlog!$G$2:$G$41,A19)</f>
        <v>11</v>
      </c>
      <c r="C19" s="9"/>
    </row>
    <row r="20" customFormat="false" ht="15" hidden="false" customHeight="false" outlineLevel="0" collapsed="false">
      <c r="A20" s="9"/>
      <c r="B20" s="9"/>
      <c r="C20" s="9"/>
    </row>
    <row r="21" customFormat="false" ht="15" hidden="false" customHeight="false" outlineLevel="0" collapsed="false">
      <c r="A21" s="11" t="s">
        <v>181</v>
      </c>
      <c r="B21" s="9"/>
      <c r="C21" s="9"/>
    </row>
    <row r="22" customFormat="false" ht="15" hidden="false" customHeight="false" outlineLevel="0" collapsed="false">
      <c r="A22" s="9" t="s">
        <v>35</v>
      </c>
      <c r="B22" s="9" t="n">
        <f aca="false">COUNTIF(Backlog!$J$2:$J$41,A22)</f>
        <v>8</v>
      </c>
      <c r="C22" s="9"/>
    </row>
    <row r="23" customFormat="false" ht="15" hidden="false" customHeight="false" outlineLevel="0" collapsed="false">
      <c r="A23" s="9" t="s">
        <v>86</v>
      </c>
      <c r="B23" s="9" t="n">
        <f aca="false">COUNTIF(Backlog!$J$2:$J$41,A23)</f>
        <v>8</v>
      </c>
      <c r="C23" s="9"/>
    </row>
    <row r="24" customFormat="false" ht="15" hidden="false" customHeight="false" outlineLevel="0" collapsed="false">
      <c r="A24" s="9" t="s">
        <v>49</v>
      </c>
      <c r="B24" s="9" t="n">
        <f aca="false">COUNTIF(Backlog!$J$2:$J$41,A24)</f>
        <v>9</v>
      </c>
      <c r="C24" s="9"/>
    </row>
    <row r="25" customFormat="false" ht="15" hidden="false" customHeight="false" outlineLevel="0" collapsed="false">
      <c r="A25" s="9" t="s">
        <v>182</v>
      </c>
      <c r="B25" s="9" t="n">
        <f aca="false">COUNTBLANK(Backlog!$J$2:$J$41)</f>
        <v>15</v>
      </c>
      <c r="C2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2026-08-09T21:28:33Z</dcterms:created>
  <dc:creator>openpyxl</dc:creator>
  <dc:description/>
  <dc:language>en-US</dc:language>
  <cp:lastModifiedBy/>
  <dcterms:modified xsi:type="dcterms:W3CDTF">2026-08-09T21:28:33Z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