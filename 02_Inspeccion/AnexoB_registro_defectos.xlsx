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" sheetId="1" state="visible" r:id="rId3"/>
    <sheet name="Métricas" sheetId="2" state="visible" r:id="rId4"/>
  </sheets>
  <definedNames>
    <definedName function="false" hidden="true" localSheetId="0" name="_xlnm._FilterDatabase" vbProcedure="false">Registro!$A$1:$G$24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<sst xmlns="http://schemas.openxmlformats.org/spreadsheetml/2006/main" count="210" uniqueCount="133">
  <si>
    <t xml:space="preserve">N.º</t>
  </si>
  <si>
    <t xml:space="preserve">Sección del ERS</t>
  </si>
  <si>
    <t xml:space="preserve">Descripción del defecto</t>
  </si>
  <si>
    <t xml:space="preserve">Tipo</t>
  </si>
  <si>
    <t xml:space="preserve">Severidad</t>
  </si>
  <si>
    <t xml:space="preserve">Req. afectado</t>
  </si>
  <si>
    <t xml:space="preserve">Inspector</t>
  </si>
  <si>
    <t xml:space="preserve">D-01</t>
  </si>
  <si>
    <t xml:space="preserve">1.5</t>
  </si>
  <si>
    <t xml:space="preserve">La visión general indica 15 requisitos no funcionales, pero el ERS vigente contiene RNF-01 a RNF-16 y la clasificación posterior declara 16 RNF.</t>
  </si>
  <si>
    <t xml:space="preserve">Consistencia</t>
  </si>
  <si>
    <t xml:space="preserve">Menor</t>
  </si>
  <si>
    <t xml:space="preserve">RNF-16</t>
  </si>
  <si>
    <t xml:space="preserve">Contreras Chávez Kevin Germán</t>
  </si>
  <si>
    <t xml:space="preserve">D-02</t>
  </si>
  <si>
    <t xml:space="preserve">2.1, 2.2 y 2.4.2</t>
  </si>
  <si>
    <t xml:space="preserve">Se afirma que la veterinaria valida y certifica información médica, mientras el conflicto «Validación documental limitada» exige usar validación referencial y no certificación clínica.</t>
  </si>
  <si>
    <t xml:space="preserve">Mayor</t>
  </si>
  <si>
    <t xml:space="preserve">RF-09, RD-03</t>
  </si>
  <si>
    <t xml:space="preserve">D-03</t>
  </si>
  <si>
    <t xml:space="preserve">3.2.12</t>
  </si>
  <si>
    <t xml:space="preserve">RF-12 usa «información requerida» y «documentación requerida» sin fijar el mecanismo de identificación, aunque HU-09 reconoce que el mecanismo exacto sigue negociable.</t>
  </si>
  <si>
    <t xml:space="preserve">Ambigüedad</t>
  </si>
  <si>
    <t xml:space="preserve">RF-12, HU-09</t>
  </si>
  <si>
    <t xml:space="preserve">D-04</t>
  </si>
  <si>
    <t xml:space="preserve">3.2.6</t>
  </si>
  <si>
    <t xml:space="preserve">RF-06 exige considerar siete factores; su criterio solo comprueba información comparativa y advertencia, sin comprobar los siete factores.</t>
  </si>
  <si>
    <t xml:space="preserve">Completitud</t>
  </si>
  <si>
    <t xml:space="preserve">RF-06</t>
  </si>
  <si>
    <t xml:space="preserve">D-05</t>
  </si>
  <si>
    <t xml:space="preserve">2.2, 2.4.2 y 3.2.7</t>
  </si>
  <si>
    <t xml:space="preserve">El ERS declara «Reporte de conversaciones sospechosas» y mecanismos para reportar interacciones inadecuadas, pero RF-07 solo cubre envío y visualización de mensajes.</t>
  </si>
  <si>
    <t xml:space="preserve">RF-07</t>
  </si>
  <si>
    <t xml:space="preserve">D-06</t>
  </si>
  <si>
    <t xml:space="preserve">3.2.7, 3.3.15 y CU-08</t>
  </si>
  <si>
    <t xml:space="preserve">RNF-15 y CU-08 asumen moderación automática, categorización y bloqueo de mensajes, pero RF-07 no especifica funcionalmente ese procesamiento.</t>
  </si>
  <si>
    <t xml:space="preserve">RF-07, RNF-15, CU-08</t>
  </si>
  <si>
    <t xml:space="preserve">D-07</t>
  </si>
  <si>
    <t xml:space="preserve">3.5.1 y 3.3.17 / 4.7</t>
  </si>
  <si>
    <t xml:space="preserve">RD-01 solo menciona IA para compatibilidad e imágenes; el ERS identifica un tercer subcomponente de IA para moderación de mensajes.</t>
  </si>
  <si>
    <t xml:space="preserve">RD-01, RNF-15</t>
  </si>
  <si>
    <t xml:space="preserve">D-08</t>
  </si>
  <si>
    <t xml:space="preserve">3.2.17</t>
  </si>
  <si>
    <t xml:space="preserve">RF-17 rechaza imágenes que no cumplan «criterios establecidos», pero el RF no enumera esos criterios; RNF-14 sí menciona motivos concretos.</t>
  </si>
  <si>
    <t xml:space="preserve">RF-17, RNF-14</t>
  </si>
  <si>
    <t xml:space="preserve">D-09</t>
  </si>
  <si>
    <t xml:space="preserve">3.2.24</t>
  </si>
  <si>
    <t xml:space="preserve">RF-24 se titula «cepa, lote y aplicador», pero la descripción, entradas y criterio incluyen cepa/marca y aplicador, omitiendo el lote.</t>
  </si>
  <si>
    <t xml:space="preserve">RF-24</t>
  </si>
  <si>
    <t xml:space="preserve">D-10</t>
  </si>
  <si>
    <t xml:space="preserve">3.2.25 vs 3.3.16</t>
  </si>
  <si>
    <t xml:space="preserve">RF-25 exige que el aviso público muestre datos de contacto; RNF-16 exige ocultar por defecto el contacto directo a usuarios no autorizados.</t>
  </si>
  <si>
    <t xml:space="preserve">Crítica</t>
  </si>
  <si>
    <t xml:space="preserve">RF-25, RNF-16, RF-11</t>
  </si>
  <si>
    <t xml:space="preserve">D-11</t>
  </si>
  <si>
    <t xml:space="preserve">3.2.25 vs 3.1.2 / 3.3.16</t>
  </si>
  <si>
    <t xml:space="preserve">RF-25 recibe «última ubicación conocida» sin limitarla a zona aproximada; RNF-16 exige radio aproximado ≥ 1 km.</t>
  </si>
  <si>
    <t xml:space="preserve">RF-25, RNF-16</t>
  </si>
  <si>
    <t xml:space="preserve">D-12</t>
  </si>
  <si>
    <t xml:space="preserve">Apéndice D, TR-10</t>
  </si>
  <si>
    <t xml:space="preserve">La matriz enlaza RF-10 (recordatorios preventivos) con CU-12, pero CU-12 es «Configurar privacidad médica».</t>
  </si>
  <si>
    <t xml:space="preserve">Trazabilidad</t>
  </si>
  <si>
    <t xml:space="preserve">RF-10, CU-12</t>
  </si>
  <si>
    <t xml:space="preserve">D-13</t>
  </si>
  <si>
    <t xml:space="preserve">Apéndice D, TR-11</t>
  </si>
  <si>
    <t xml:space="preserve">La matriz enlaza RF-11 (privacidad) con CU-06 (compatibilidad de cruza), aunque el CU específico de privacidad es CU-12.</t>
  </si>
  <si>
    <t xml:space="preserve">RF-11, CU-06, CU-12</t>
  </si>
  <si>
    <t xml:space="preserve">D-14</t>
  </si>
  <si>
    <t xml:space="preserve">Apéndice D, TR-33</t>
  </si>
  <si>
    <t xml:space="preserve">La matriz enlaza RF-20 (encuentros de socialización) con CU-08, que corresponde a comunicación y mensajería.</t>
  </si>
  <si>
    <t xml:space="preserve">RF-20, CU-08</t>
  </si>
  <si>
    <t xml:space="preserve">D-15</t>
  </si>
  <si>
    <t xml:space="preserve">Apéndice D, TR-38</t>
  </si>
  <si>
    <t xml:space="preserve">La matriz enlaza RF-25 (aviso de mascota extraviada) con CU-04, cuyo contenido es publicación de mascota en adopción.</t>
  </si>
  <si>
    <t xml:space="preserve">RF-25, CU-04</t>
  </si>
  <si>
    <t xml:space="preserve">D-16</t>
  </si>
  <si>
    <t xml:space="preserve">3.3.6</t>
  </si>
  <si>
    <t xml:space="preserve">RNF-06 fija una coincidencia mínima del 85 % con evaluaciones veterinarias, pero no define el tamaño ni la composición del «conjunto representativo de casos de prueba».</t>
  </si>
  <si>
    <t xml:space="preserve">Verificabilidad</t>
  </si>
  <si>
    <t xml:space="preserve">RNF-06</t>
  </si>
  <si>
    <t xml:space="preserve">Viteri García Jonathan Enrique</t>
  </si>
  <si>
    <t xml:space="preserve">D-17</t>
  </si>
  <si>
    <t xml:space="preserve">3.3.7</t>
  </si>
  <si>
    <t xml:space="preserve">RNF-07 exige clasificar correctamente al menos el 95 % de las imágenes «según el tipo de fotografía esperado», sin enumerar qué tipos son válidos o inválidos.</t>
  </si>
  <si>
    <t xml:space="preserve">RNF-07</t>
  </si>
  <si>
    <t xml:space="preserve">D-18</t>
  </si>
  <si>
    <t xml:space="preserve">3.3.11</t>
  </si>
  <si>
    <t xml:space="preserve">RNF-11 exige operar sin errores en Chrome, Firefox y Safari y en resoluciones de móvil y escritorio, pero no fija versiones ni resoluciones concretas de prueba.</t>
  </si>
  <si>
    <t xml:space="preserve">RNF-11</t>
  </si>
  <si>
    <t xml:space="preserve">D-19</t>
  </si>
  <si>
    <t xml:space="preserve">3.3.13 / Apéndice D</t>
  </si>
  <si>
    <t xml:space="preserve">RNF-13 se enlaza solo con RF-06, pero su verificación exige además evidencia de la explicación, medición de tiempo y encuesta de comprensión.</t>
  </si>
  <si>
    <t xml:space="preserve">RNF-13, RF-06</t>
  </si>
  <si>
    <t xml:space="preserve">D-20</t>
  </si>
  <si>
    <t xml:space="preserve">3.3.14 / Apéndice D</t>
  </si>
  <si>
    <t xml:space="preserve">RNF-14 se asocia a RF-17, pero la matriz no establece correspondencia clara entre el requisito, los criterios de aceptación y las pruebas de la explicación mostrada.</t>
  </si>
  <si>
    <t xml:space="preserve">RNF-14, RF-17</t>
  </si>
  <si>
    <t xml:space="preserve">D-21</t>
  </si>
  <si>
    <t xml:space="preserve">3.3.3</t>
  </si>
  <si>
    <t xml:space="preserve">RNF-03 exige P95 ≤ 2 s con 100 usuarios concurrentes sin que el ERS declare la infraestructura ni el mecanismo de prueba que permitan medirlo.</t>
  </si>
  <si>
    <t xml:space="preserve">Factibilidad</t>
  </si>
  <si>
    <t xml:space="preserve">RNF-03</t>
  </si>
  <si>
    <t xml:space="preserve">D-22</t>
  </si>
  <si>
    <t xml:space="preserve">RNF-06 exige coincidencia ≥ 85 % con evaluaciones de médicos veterinarios sin que exista un conjunto de casos evaluados por profesionales.</t>
  </si>
  <si>
    <t xml:space="preserve">D-23</t>
  </si>
  <si>
    <t xml:space="preserve">3.3.12</t>
  </si>
  <si>
    <t xml:space="preserve">RNF-12 fija P95 ≤ 3 s con 300 usuarios concurrentes, pero añade que no debe existir «degradación significativa», expresión sin umbral cuantitativo.</t>
  </si>
  <si>
    <t xml:space="preserve">RNF-12</t>
  </si>
  <si>
    <t xml:space="preserve">Métricas de la inspección Fagan — ERS MundiPets</t>
  </si>
  <si>
    <t xml:space="preserve">Todas las métricas se calculan mediante fórmulas sobre la hoja «Registro». No editar valores a mano.</t>
  </si>
  <si>
    <t xml:space="preserve">DATOS DE ENTRADA</t>
  </si>
  <si>
    <t xml:space="preserve">Defectos únicos consolidados</t>
  </si>
  <si>
    <t xml:space="preserve">Páginas efectivamente inspeccionadas (Sección 3 del ERS)</t>
  </si>
  <si>
    <t xml:space="preserve">Azul = dato de entrada declarado por el equipo</t>
  </si>
  <si>
    <t xml:space="preserve">Horas de preparación — Inspector 2 (Kevin Contreras)</t>
  </si>
  <si>
    <t xml:space="preserve">Horas de preparación — Inspector 1 (Jonathan Viteri)</t>
  </si>
  <si>
    <t xml:space="preserve">1. DENSIDAD DE DEFECTOS</t>
  </si>
  <si>
    <t xml:space="preserve">Densidad = defectos ÷ páginas inspeccionadas</t>
  </si>
  <si>
    <t xml:space="preserve">defectos/página</t>
  </si>
  <si>
    <t xml:space="preserve">2. DISTRIBUCIÓN POR TIPO</t>
  </si>
  <si>
    <t xml:space="preserve">Tipo de defecto</t>
  </si>
  <si>
    <t xml:space="preserve">Cantidad</t>
  </si>
  <si>
    <t xml:space="preserve">Porcentaje</t>
  </si>
  <si>
    <t xml:space="preserve">Total</t>
  </si>
  <si>
    <t xml:space="preserve">3. DISTRIBUCIÓN POR SEVERIDAD</t>
  </si>
  <si>
    <t xml:space="preserve">Críticos + Mayores</t>
  </si>
  <si>
    <t xml:space="preserve">4. TASA DE DETECCIÓN POR INSPECTOR</t>
  </si>
  <si>
    <t xml:space="preserve">Defectos</t>
  </si>
  <si>
    <t xml:space="preserve">Horas</t>
  </si>
  <si>
    <t xml:space="preserve">Tasa (def/h)</t>
  </si>
  <si>
    <t xml:space="preserve">5. ESFUERZO TOTAL</t>
  </si>
  <si>
    <t xml:space="preserve">Esfuerzo total (horas-persona)</t>
  </si>
  <si>
    <t xml:space="preserve">Productividad global (defectos/hora-persona)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</si>
</sst>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%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52CC"/>
        <bgColor rgb="FF3366FF"/>
      </patternFill>
    </fill>
    <fill>
      <patternFill patternType="solid">
        <fgColor rgb="FFE6F4E6"/>
        <bgColor rgb="FFF9F9F9"/>
      </patternFill>
    </fill>
    <fill>
      <patternFill patternType="solid">
        <fgColor rgb="FFFFF0CC"/>
        <bgColor rgb="FFE6F4E6"/>
      </patternFill>
    </fill>
    <fill>
      <patternFill patternType="solid">
        <fgColor rgb="FFFFD6D6"/>
        <bgColor rgb="FFFFF0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5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E6"/>
          <bgColor rgb="FF000000"/>
        </patternFill>
      </fill>
    </dxf>
    <dxf>
      <fill>
        <patternFill patternType="solid">
          <fgColor rgb="FFFFD6D6"/>
          <bgColor rgb="FF000000"/>
        </patternFill>
      </fill>
    </dxf>
    <dxf>
      <fill>
        <patternFill patternType="solid">
          <fgColor rgb="FFFFF0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0CC"/>
      <rgbColor rgb="FFE6F4E6"/>
      <rgbColor rgb="FF660066"/>
      <rgbColor rgb="FFFF8080"/>
      <rgbColor rgb="FF0052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defectos por tipo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Métricas!B14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Métricas!$A$15:$A$20</c:f>
              <c:strCache>
                <c:ptCount val="6"/>
                <c:pt idx="0">
                  <c:v>Consistencia</c:v>
                </c:pt>
                <c:pt idx="1">
                  <c:v>Trazabilidad</c:v>
                </c:pt>
                <c:pt idx="2">
                  <c:v>Verificabilidad</c:v>
                </c:pt>
                <c:pt idx="3">
                  <c:v>Ambigüedad</c:v>
                </c:pt>
                <c:pt idx="4">
                  <c:v>Completitud</c:v>
                </c:pt>
                <c:pt idx="5">
                  <c:v>Factibilidad</c:v>
                </c:pt>
              </c:strCache>
            </c:strRef>
          </c:cat>
          <c:val>
            <c:numRef>
              <c:f>Métricas!$B$15:$B$20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91567911"/>
        <c:axId val="76286956"/>
      </c:barChart>
      <c:catAx>
        <c:axId val="9156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86956"/>
        <c:crosses val="autoZero"/>
        <c:auto val="1"/>
        <c:lblAlgn val="ctr"/>
        <c:lblOffset val="100"/>
        <c:noMultiLvlLbl val="0"/>
      </c:catAx>
      <c:valAx>
        <c:axId val="76286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679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defectos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Métricas!B24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Métricas!$A$25:$A$27</c:f>
              <c:strCache>
                <c:ptCount val="3"/>
                <c:pt idx="0">
                  <c:v>Crítica</c:v>
                </c:pt>
                <c:pt idx="1">
                  <c:v>Mayor</c:v>
                </c:pt>
                <c:pt idx="2">
                  <c:v>Menor</c:v>
                </c:pt>
              </c:strCache>
            </c:strRef>
          </c:cat>
          <c:val>
            <c:numRef>
              <c:f>Métricas!$B$25:$B$27</c:f>
              <c:numCache>
                <c:formatCode>General</c:formatCode>
                <c:ptCount val="3"/>
                <c:pt idx="0">
                  <c:v>2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</c:ser>
        <c:gapWidth val="150"/>
        <c:overlap val="0"/>
        <c:axId val="36749038"/>
        <c:axId val="73696460"/>
      </c:barChart>
      <c:catAx>
        <c:axId val="36749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6460"/>
        <c:crosses val="autoZero"/>
        <c:auto val="1"/>
        <c:lblAlgn val="ctr"/>
        <c:lblOffset val="100"/>
        <c:noMultiLvlLbl val="0"/>
      </c:catAx>
      <c:valAx>
        <c:axId val="73696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defectos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490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18</xdr:row>
      <xdr:rowOff>22320</xdr:rowOff>
    </xdr:to>
    <xdr:graphicFrame>
      <xdr:nvGraphicFramePr>
        <xdr:cNvPr id="0" name="Chart 1"/>
        <xdr:cNvGraphicFramePr/>
      </xdr:nvGraphicFramePr>
      <xdr:xfrm>
        <a:off x="69552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14</xdr:col>
      <xdr:colOff>255960</xdr:colOff>
      <xdr:row>38</xdr:row>
      <xdr:rowOff>22320</xdr:rowOff>
    </xdr:to>
    <xdr:graphicFrame>
      <xdr:nvGraphicFramePr>
        <xdr:cNvPr id="1" name="Chart 2"/>
        <xdr:cNvGraphicFramePr/>
      </xdr:nvGraphicFramePr>
      <xdr:xfrm>
        <a:off x="695520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 t="s">
        <v>13</v>
      </c>
    </row>
    <row r="3" customFormat="false" ht="35.05" hidden="false" customHeight="false" outlineLevel="0" collapsed="false">
      <c r="A3" s="2" t="s">
        <v>14</v>
      </c>
      <c r="B3" s="2" t="s">
        <v>15</v>
      </c>
      <c r="C3" s="3" t="s">
        <v>16</v>
      </c>
      <c r="D3" s="2" t="s">
        <v>10</v>
      </c>
      <c r="E3" s="5" t="s">
        <v>17</v>
      </c>
      <c r="F3" s="2" t="s">
        <v>18</v>
      </c>
      <c r="G3" s="2" t="s">
        <v>13</v>
      </c>
    </row>
    <row r="4" customFormat="false" ht="35.05" hidden="false" customHeight="false" outlineLevel="0" collapsed="false">
      <c r="A4" s="2" t="s">
        <v>19</v>
      </c>
      <c r="B4" s="2" t="s">
        <v>20</v>
      </c>
      <c r="C4" s="3" t="s">
        <v>21</v>
      </c>
      <c r="D4" s="2" t="s">
        <v>22</v>
      </c>
      <c r="E4" s="5" t="s">
        <v>17</v>
      </c>
      <c r="F4" s="2" t="s">
        <v>23</v>
      </c>
      <c r="G4" s="2" t="s">
        <v>13</v>
      </c>
    </row>
    <row r="5" customFormat="false" ht="23.85" hidden="false" customHeight="false" outlineLevel="0" collapsed="false">
      <c r="A5" s="2" t="s">
        <v>24</v>
      </c>
      <c r="B5" s="2" t="s">
        <v>25</v>
      </c>
      <c r="C5" s="3" t="s">
        <v>26</v>
      </c>
      <c r="D5" s="2" t="s">
        <v>27</v>
      </c>
      <c r="E5" s="5" t="s">
        <v>17</v>
      </c>
      <c r="F5" s="2" t="s">
        <v>28</v>
      </c>
      <c r="G5" s="2" t="s">
        <v>13</v>
      </c>
    </row>
    <row r="6" customFormat="false" ht="35.05" hidden="false" customHeight="false" outlineLevel="0" collapsed="false">
      <c r="A6" s="2" t="s">
        <v>29</v>
      </c>
      <c r="B6" s="2" t="s">
        <v>30</v>
      </c>
      <c r="C6" s="3" t="s">
        <v>31</v>
      </c>
      <c r="D6" s="2" t="s">
        <v>27</v>
      </c>
      <c r="E6" s="5" t="s">
        <v>17</v>
      </c>
      <c r="F6" s="2" t="s">
        <v>32</v>
      </c>
      <c r="G6" s="2" t="s">
        <v>13</v>
      </c>
    </row>
    <row r="7" customFormat="false" ht="23.85" hidden="false" customHeight="false" outlineLevel="0" collapsed="false">
      <c r="A7" s="2" t="s">
        <v>33</v>
      </c>
      <c r="B7" s="2" t="s">
        <v>34</v>
      </c>
      <c r="C7" s="3" t="s">
        <v>35</v>
      </c>
      <c r="D7" s="2" t="s">
        <v>10</v>
      </c>
      <c r="E7" s="5" t="s">
        <v>17</v>
      </c>
      <c r="F7" s="2" t="s">
        <v>36</v>
      </c>
      <c r="G7" s="2" t="s">
        <v>13</v>
      </c>
    </row>
    <row r="8" customFormat="false" ht="23.85" hidden="false" customHeight="false" outlineLevel="0" collapsed="false">
      <c r="A8" s="2" t="s">
        <v>37</v>
      </c>
      <c r="B8" s="2" t="s">
        <v>38</v>
      </c>
      <c r="C8" s="3" t="s">
        <v>39</v>
      </c>
      <c r="D8" s="2" t="s">
        <v>10</v>
      </c>
      <c r="E8" s="5" t="s">
        <v>17</v>
      </c>
      <c r="F8" s="2" t="s">
        <v>40</v>
      </c>
      <c r="G8" s="2" t="s">
        <v>13</v>
      </c>
    </row>
    <row r="9" customFormat="false" ht="23.85" hidden="false" customHeight="false" outlineLevel="0" collapsed="false">
      <c r="A9" s="2" t="s">
        <v>41</v>
      </c>
      <c r="B9" s="2" t="s">
        <v>42</v>
      </c>
      <c r="C9" s="3" t="s">
        <v>43</v>
      </c>
      <c r="D9" s="2" t="s">
        <v>22</v>
      </c>
      <c r="E9" s="5" t="s">
        <v>17</v>
      </c>
      <c r="F9" s="2" t="s">
        <v>44</v>
      </c>
      <c r="G9" s="2" t="s">
        <v>13</v>
      </c>
    </row>
    <row r="10" customFormat="false" ht="23.85" hidden="false" customHeight="false" outlineLevel="0" collapsed="false">
      <c r="A10" s="2" t="s">
        <v>45</v>
      </c>
      <c r="B10" s="2" t="s">
        <v>46</v>
      </c>
      <c r="C10" s="3" t="s">
        <v>47</v>
      </c>
      <c r="D10" s="2" t="s">
        <v>10</v>
      </c>
      <c r="E10" s="5" t="s">
        <v>17</v>
      </c>
      <c r="F10" s="2" t="s">
        <v>48</v>
      </c>
      <c r="G10" s="2" t="s">
        <v>13</v>
      </c>
    </row>
    <row r="11" customFormat="false" ht="23.85" hidden="false" customHeight="false" outlineLevel="0" collapsed="false">
      <c r="A11" s="2" t="s">
        <v>49</v>
      </c>
      <c r="B11" s="2" t="s">
        <v>50</v>
      </c>
      <c r="C11" s="3" t="s">
        <v>51</v>
      </c>
      <c r="D11" s="2" t="s">
        <v>10</v>
      </c>
      <c r="E11" s="6" t="s">
        <v>52</v>
      </c>
      <c r="F11" s="2" t="s">
        <v>53</v>
      </c>
      <c r="G11" s="2" t="s">
        <v>13</v>
      </c>
    </row>
    <row r="12" customFormat="false" ht="23.85" hidden="false" customHeight="false" outlineLevel="0" collapsed="false">
      <c r="A12" s="2" t="s">
        <v>54</v>
      </c>
      <c r="B12" s="2" t="s">
        <v>55</v>
      </c>
      <c r="C12" s="3" t="s">
        <v>56</v>
      </c>
      <c r="D12" s="2" t="s">
        <v>10</v>
      </c>
      <c r="E12" s="6" t="s">
        <v>52</v>
      </c>
      <c r="F12" s="2" t="s">
        <v>57</v>
      </c>
      <c r="G12" s="2" t="s">
        <v>13</v>
      </c>
    </row>
    <row r="13" customFormat="false" ht="23.85" hidden="false" customHeight="false" outlineLevel="0" collapsed="false">
      <c r="A13" s="2" t="s">
        <v>58</v>
      </c>
      <c r="B13" s="2" t="s">
        <v>59</v>
      </c>
      <c r="C13" s="3" t="s">
        <v>60</v>
      </c>
      <c r="D13" s="2" t="s">
        <v>61</v>
      </c>
      <c r="E13" s="5" t="s">
        <v>17</v>
      </c>
      <c r="F13" s="2" t="s">
        <v>62</v>
      </c>
      <c r="G13" s="2" t="s">
        <v>13</v>
      </c>
    </row>
    <row r="14" customFormat="false" ht="23.85" hidden="false" customHeight="false" outlineLevel="0" collapsed="false">
      <c r="A14" s="2" t="s">
        <v>63</v>
      </c>
      <c r="B14" s="2" t="s">
        <v>64</v>
      </c>
      <c r="C14" s="3" t="s">
        <v>65</v>
      </c>
      <c r="D14" s="2" t="s">
        <v>61</v>
      </c>
      <c r="E14" s="5" t="s">
        <v>17</v>
      </c>
      <c r="F14" s="2" t="s">
        <v>66</v>
      </c>
      <c r="G14" s="2" t="s">
        <v>13</v>
      </c>
    </row>
    <row r="15" customFormat="false" ht="23.85" hidden="false" customHeight="false" outlineLevel="0" collapsed="false">
      <c r="A15" s="2" t="s">
        <v>67</v>
      </c>
      <c r="B15" s="2" t="s">
        <v>68</v>
      </c>
      <c r="C15" s="3" t="s">
        <v>69</v>
      </c>
      <c r="D15" s="2" t="s">
        <v>61</v>
      </c>
      <c r="E15" s="5" t="s">
        <v>17</v>
      </c>
      <c r="F15" s="2" t="s">
        <v>70</v>
      </c>
      <c r="G15" s="2" t="s">
        <v>13</v>
      </c>
    </row>
    <row r="16" customFormat="false" ht="23.85" hidden="false" customHeight="false" outlineLevel="0" collapsed="false">
      <c r="A16" s="2" t="s">
        <v>71</v>
      </c>
      <c r="B16" s="2" t="s">
        <v>72</v>
      </c>
      <c r="C16" s="3" t="s">
        <v>73</v>
      </c>
      <c r="D16" s="2" t="s">
        <v>61</v>
      </c>
      <c r="E16" s="5" t="s">
        <v>17</v>
      </c>
      <c r="F16" s="2" t="s">
        <v>74</v>
      </c>
      <c r="G16" s="2" t="s">
        <v>13</v>
      </c>
    </row>
    <row r="17" customFormat="false" ht="23.85" hidden="false" customHeight="false" outlineLevel="0" collapsed="false">
      <c r="A17" s="2" t="s">
        <v>75</v>
      </c>
      <c r="B17" s="2" t="s">
        <v>76</v>
      </c>
      <c r="C17" s="3" t="s">
        <v>77</v>
      </c>
      <c r="D17" s="2" t="s">
        <v>78</v>
      </c>
      <c r="E17" s="5" t="s">
        <v>17</v>
      </c>
      <c r="F17" s="2" t="s">
        <v>79</v>
      </c>
      <c r="G17" s="2" t="s">
        <v>80</v>
      </c>
    </row>
    <row r="18" customFormat="false" ht="23.85" hidden="false" customHeight="false" outlineLevel="0" collapsed="false">
      <c r="A18" s="2" t="s">
        <v>81</v>
      </c>
      <c r="B18" s="2" t="s">
        <v>82</v>
      </c>
      <c r="C18" s="3" t="s">
        <v>83</v>
      </c>
      <c r="D18" s="2" t="s">
        <v>78</v>
      </c>
      <c r="E18" s="5" t="s">
        <v>17</v>
      </c>
      <c r="F18" s="2" t="s">
        <v>84</v>
      </c>
      <c r="G18" s="2" t="s">
        <v>80</v>
      </c>
    </row>
    <row r="19" customFormat="false" ht="23.85" hidden="false" customHeight="false" outlineLevel="0" collapsed="false">
      <c r="A19" s="2" t="s">
        <v>85</v>
      </c>
      <c r="B19" s="2" t="s">
        <v>86</v>
      </c>
      <c r="C19" s="3" t="s">
        <v>87</v>
      </c>
      <c r="D19" s="2" t="s">
        <v>78</v>
      </c>
      <c r="E19" s="4" t="s">
        <v>11</v>
      </c>
      <c r="F19" s="2" t="s">
        <v>88</v>
      </c>
      <c r="G19" s="2" t="s">
        <v>80</v>
      </c>
    </row>
    <row r="20" customFormat="false" ht="23.85" hidden="false" customHeight="false" outlineLevel="0" collapsed="false">
      <c r="A20" s="2" t="s">
        <v>89</v>
      </c>
      <c r="B20" s="2" t="s">
        <v>90</v>
      </c>
      <c r="C20" s="3" t="s">
        <v>91</v>
      </c>
      <c r="D20" s="2" t="s">
        <v>61</v>
      </c>
      <c r="E20" s="4" t="s">
        <v>11</v>
      </c>
      <c r="F20" s="2" t="s">
        <v>92</v>
      </c>
      <c r="G20" s="2" t="s">
        <v>80</v>
      </c>
    </row>
    <row r="21" customFormat="false" ht="23.85" hidden="false" customHeight="false" outlineLevel="0" collapsed="false">
      <c r="A21" s="2" t="s">
        <v>93</v>
      </c>
      <c r="B21" s="2" t="s">
        <v>94</v>
      </c>
      <c r="C21" s="3" t="s">
        <v>95</v>
      </c>
      <c r="D21" s="2" t="s">
        <v>61</v>
      </c>
      <c r="E21" s="4" t="s">
        <v>11</v>
      </c>
      <c r="F21" s="2" t="s">
        <v>96</v>
      </c>
      <c r="G21" s="2" t="s">
        <v>80</v>
      </c>
    </row>
    <row r="22" customFormat="false" ht="23.85" hidden="false" customHeight="false" outlineLevel="0" collapsed="false">
      <c r="A22" s="2" t="s">
        <v>97</v>
      </c>
      <c r="B22" s="2" t="s">
        <v>98</v>
      </c>
      <c r="C22" s="3" t="s">
        <v>99</v>
      </c>
      <c r="D22" s="2" t="s">
        <v>100</v>
      </c>
      <c r="E22" s="5" t="s">
        <v>17</v>
      </c>
      <c r="F22" s="2" t="s">
        <v>101</v>
      </c>
      <c r="G22" s="2" t="s">
        <v>80</v>
      </c>
    </row>
    <row r="23" customFormat="false" ht="23.85" hidden="false" customHeight="false" outlineLevel="0" collapsed="false">
      <c r="A23" s="2" t="s">
        <v>102</v>
      </c>
      <c r="B23" s="2" t="s">
        <v>76</v>
      </c>
      <c r="C23" s="3" t="s">
        <v>103</v>
      </c>
      <c r="D23" s="2" t="s">
        <v>100</v>
      </c>
      <c r="E23" s="5" t="s">
        <v>17</v>
      </c>
      <c r="F23" s="2" t="s">
        <v>79</v>
      </c>
      <c r="G23" s="2" t="s">
        <v>80</v>
      </c>
    </row>
    <row r="24" customFormat="false" ht="23.85" hidden="false" customHeight="false" outlineLevel="0" collapsed="false">
      <c r="A24" s="2" t="s">
        <v>104</v>
      </c>
      <c r="B24" s="2" t="s">
        <v>105</v>
      </c>
      <c r="C24" s="3" t="s">
        <v>106</v>
      </c>
      <c r="D24" s="2" t="s">
        <v>78</v>
      </c>
      <c r="E24" s="4" t="s">
        <v>11</v>
      </c>
      <c r="F24" s="2" t="s">
        <v>107</v>
      </c>
      <c r="G24" s="2" t="s">
        <v>80</v>
      </c>
    </row>
  </sheetData>
  <autoFilter ref="A1:G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7" t="s">
        <v>108</v>
      </c>
    </row>
    <row r="2" customFormat="false" ht="15" hidden="false" customHeight="false" outlineLevel="0" collapsed="false">
      <c r="A2" s="8" t="s">
        <v>109</v>
      </c>
    </row>
    <row r="4" customFormat="false" ht="15" hidden="false" customHeight="false" outlineLevel="0" collapsed="false">
      <c r="A4" s="9" t="s">
        <v>110</v>
      </c>
    </row>
    <row r="5" customFormat="false" ht="15" hidden="false" customHeight="false" outlineLevel="0" collapsed="false">
      <c r="A5" s="10" t="s">
        <v>111</v>
      </c>
      <c r="B5" s="10" t="n">
        <f aca="false">COUNTA(Registro!A2:A24)</f>
        <v>23</v>
      </c>
    </row>
    <row r="6" customFormat="false" ht="15" hidden="false" customHeight="false" outlineLevel="0" collapsed="false">
      <c r="A6" s="10" t="s">
        <v>112</v>
      </c>
      <c r="B6" s="11" t="n">
        <v>12</v>
      </c>
      <c r="C6" s="8" t="s">
        <v>113</v>
      </c>
    </row>
    <row r="7" customFormat="false" ht="15" hidden="false" customHeight="false" outlineLevel="0" collapsed="false">
      <c r="A7" s="10" t="s">
        <v>114</v>
      </c>
      <c r="B7" s="11" t="n">
        <v>5</v>
      </c>
    </row>
    <row r="8" customFormat="false" ht="15" hidden="false" customHeight="false" outlineLevel="0" collapsed="false">
      <c r="A8" s="10" t="s">
        <v>115</v>
      </c>
      <c r="B8" s="11" t="n">
        <v>3</v>
      </c>
    </row>
    <row r="10" customFormat="false" ht="15" hidden="false" customHeight="false" outlineLevel="0" collapsed="false">
      <c r="A10" s="9" t="s">
        <v>116</v>
      </c>
    </row>
    <row r="11" customFormat="false" ht="15" hidden="false" customHeight="false" outlineLevel="0" collapsed="false">
      <c r="A11" s="10" t="s">
        <v>117</v>
      </c>
      <c r="B11" s="12" t="n">
        <f aca="false">B5/B6</f>
        <v>1.91666666666667</v>
      </c>
      <c r="C11" s="10" t="s">
        <v>118</v>
      </c>
    </row>
    <row r="13" customFormat="false" ht="15" hidden="false" customHeight="false" outlineLevel="0" collapsed="false">
      <c r="A13" s="9" t="s">
        <v>119</v>
      </c>
    </row>
    <row r="14" customFormat="false" ht="15" hidden="false" customHeight="false" outlineLevel="0" collapsed="false">
      <c r="A14" s="13" t="s">
        <v>120</v>
      </c>
      <c r="B14" s="13" t="s">
        <v>121</v>
      </c>
      <c r="C14" s="13" t="s">
        <v>122</v>
      </c>
    </row>
    <row r="15" customFormat="false" ht="15" hidden="false" customHeight="false" outlineLevel="0" collapsed="false">
      <c r="A15" s="10" t="s">
        <v>10</v>
      </c>
      <c r="B15" s="10" t="n">
        <f aca="false">COUNTIF(Registro!$D$2:$D$24,A15)</f>
        <v>7</v>
      </c>
      <c r="C15" s="14" t="n">
        <f aca="false">B15/$B$5</f>
        <v>0.304347826086957</v>
      </c>
    </row>
    <row r="16" customFormat="false" ht="15" hidden="false" customHeight="false" outlineLevel="0" collapsed="false">
      <c r="A16" s="10" t="s">
        <v>61</v>
      </c>
      <c r="B16" s="10" t="n">
        <f aca="false">COUNTIF(Registro!$D$2:$D$24,A16)</f>
        <v>6</v>
      </c>
      <c r="C16" s="14" t="n">
        <f aca="false">B16/$B$5</f>
        <v>0.260869565217391</v>
      </c>
    </row>
    <row r="17" customFormat="false" ht="15" hidden="false" customHeight="false" outlineLevel="0" collapsed="false">
      <c r="A17" s="10" t="s">
        <v>78</v>
      </c>
      <c r="B17" s="10" t="n">
        <f aca="false">COUNTIF(Registro!$D$2:$D$24,A17)</f>
        <v>4</v>
      </c>
      <c r="C17" s="14" t="n">
        <f aca="false">B17/$B$5</f>
        <v>0.173913043478261</v>
      </c>
    </row>
    <row r="18" customFormat="false" ht="15" hidden="false" customHeight="false" outlineLevel="0" collapsed="false">
      <c r="A18" s="10" t="s">
        <v>22</v>
      </c>
      <c r="B18" s="10" t="n">
        <f aca="false">COUNTIF(Registro!$D$2:$D$24,A18)</f>
        <v>2</v>
      </c>
      <c r="C18" s="14" t="n">
        <f aca="false">B18/$B$5</f>
        <v>0.0869565217391304</v>
      </c>
    </row>
    <row r="19" customFormat="false" ht="15" hidden="false" customHeight="false" outlineLevel="0" collapsed="false">
      <c r="A19" s="10" t="s">
        <v>27</v>
      </c>
      <c r="B19" s="10" t="n">
        <f aca="false">COUNTIF(Registro!$D$2:$D$24,A19)</f>
        <v>2</v>
      </c>
      <c r="C19" s="14" t="n">
        <f aca="false">B19/$B$5</f>
        <v>0.0869565217391304</v>
      </c>
    </row>
    <row r="20" customFormat="false" ht="15" hidden="false" customHeight="false" outlineLevel="0" collapsed="false">
      <c r="A20" s="10" t="s">
        <v>100</v>
      </c>
      <c r="B20" s="10" t="n">
        <f aca="false">COUNTIF(Registro!$D$2:$D$24,A20)</f>
        <v>2</v>
      </c>
      <c r="C20" s="14" t="n">
        <f aca="false">B20/$B$5</f>
        <v>0.0869565217391304</v>
      </c>
    </row>
    <row r="21" customFormat="false" ht="15" hidden="false" customHeight="false" outlineLevel="0" collapsed="false">
      <c r="A21" s="9" t="s">
        <v>123</v>
      </c>
      <c r="B21" s="9" t="n">
        <f aca="false">SUM(B15:B20)</f>
        <v>23</v>
      </c>
      <c r="C21" s="15" t="n">
        <f aca="false">SUM(C15:C20)</f>
        <v>1</v>
      </c>
    </row>
    <row r="23" customFormat="false" ht="15" hidden="false" customHeight="false" outlineLevel="0" collapsed="false">
      <c r="A23" s="9" t="s">
        <v>124</v>
      </c>
    </row>
    <row r="24" customFormat="false" ht="15" hidden="false" customHeight="false" outlineLevel="0" collapsed="false">
      <c r="A24" s="13" t="s">
        <v>4</v>
      </c>
      <c r="B24" s="13" t="s">
        <v>121</v>
      </c>
      <c r="C24" s="13" t="s">
        <v>122</v>
      </c>
    </row>
    <row r="25" customFormat="false" ht="15" hidden="false" customHeight="false" outlineLevel="0" collapsed="false">
      <c r="A25" s="10" t="s">
        <v>52</v>
      </c>
      <c r="B25" s="10" t="n">
        <f aca="false">COUNTIF(Registro!$E$2:$E$24,A25)</f>
        <v>2</v>
      </c>
      <c r="C25" s="14" t="n">
        <f aca="false">B25/$B$5</f>
        <v>0.0869565217391304</v>
      </c>
    </row>
    <row r="26" customFormat="false" ht="15" hidden="false" customHeight="false" outlineLevel="0" collapsed="false">
      <c r="A26" s="10" t="s">
        <v>17</v>
      </c>
      <c r="B26" s="10" t="n">
        <f aca="false">COUNTIF(Registro!$E$2:$E$24,A26)</f>
        <v>16</v>
      </c>
      <c r="C26" s="14" t="n">
        <f aca="false">B26/$B$5</f>
        <v>0.695652173913044</v>
      </c>
    </row>
    <row r="27" customFormat="false" ht="15" hidden="false" customHeight="false" outlineLevel="0" collapsed="false">
      <c r="A27" s="10" t="s">
        <v>11</v>
      </c>
      <c r="B27" s="10" t="n">
        <f aca="false">COUNTIF(Registro!$E$2:$E$24,A27)</f>
        <v>5</v>
      </c>
      <c r="C27" s="14" t="n">
        <f aca="false">B27/$B$5</f>
        <v>0.217391304347826</v>
      </c>
    </row>
    <row r="28" customFormat="false" ht="15" hidden="false" customHeight="false" outlineLevel="0" collapsed="false">
      <c r="A28" s="9" t="s">
        <v>123</v>
      </c>
      <c r="B28" s="9" t="n">
        <f aca="false">SUM(B25:B27)</f>
        <v>23</v>
      </c>
      <c r="C28" s="15" t="n">
        <f aca="false">SUM(C25:C27)</f>
        <v>1</v>
      </c>
    </row>
    <row r="29" customFormat="false" ht="15" hidden="false" customHeight="false" outlineLevel="0" collapsed="false">
      <c r="A29" s="10" t="s">
        <v>125</v>
      </c>
      <c r="B29" s="10" t="n">
        <f aca="false">B25+B26</f>
        <v>18</v>
      </c>
      <c r="C29" s="14" t="n">
        <f aca="false">B29/$B$5</f>
        <v>0.782608695652174</v>
      </c>
    </row>
    <row r="31" customFormat="false" ht="15" hidden="false" customHeight="false" outlineLevel="0" collapsed="false">
      <c r="A31" s="9" t="s">
        <v>126</v>
      </c>
    </row>
    <row r="32" customFormat="false" ht="15" hidden="false" customHeight="false" outlineLevel="0" collapsed="false">
      <c r="A32" s="13" t="s">
        <v>6</v>
      </c>
      <c r="B32" s="13" t="s">
        <v>127</v>
      </c>
      <c r="C32" s="13" t="s">
        <v>128</v>
      </c>
      <c r="D32" s="13" t="s">
        <v>129</v>
      </c>
    </row>
    <row r="33" customFormat="false" ht="15" hidden="false" customHeight="false" outlineLevel="0" collapsed="false">
      <c r="A33" s="10" t="s">
        <v>13</v>
      </c>
      <c r="B33" s="10" t="n">
        <f aca="false">COUNTIF(Registro!$G$2:$G$24,A33)</f>
        <v>15</v>
      </c>
      <c r="C33" s="10" t="n">
        <f aca="false">B7</f>
        <v>5</v>
      </c>
      <c r="D33" s="12" t="n">
        <f aca="false">B33/C33</f>
        <v>3</v>
      </c>
    </row>
    <row r="34" customFormat="false" ht="15" hidden="false" customHeight="false" outlineLevel="0" collapsed="false">
      <c r="A34" s="10" t="s">
        <v>80</v>
      </c>
      <c r="B34" s="10" t="n">
        <f aca="false">COUNTIF(Registro!$G$2:$G$24,A34)</f>
        <v>8</v>
      </c>
      <c r="C34" s="10" t="n">
        <f aca="false">B8</f>
        <v>3</v>
      </c>
      <c r="D34" s="12" t="n">
        <f aca="false">B34/C34</f>
        <v>2.66666666666667</v>
      </c>
    </row>
    <row r="35" customFormat="false" ht="15" hidden="false" customHeight="false" outlineLevel="0" collapsed="false">
      <c r="A35" s="9" t="s">
        <v>123</v>
      </c>
      <c r="B35" s="9" t="n">
        <f aca="false">SUM(B33:B34)</f>
        <v>23</v>
      </c>
      <c r="C35" s="9" t="n">
        <f aca="false">SUM(C33:C34)</f>
        <v>8</v>
      </c>
      <c r="D35" s="16" t="n">
        <f aca="false">B35/C35</f>
        <v>2.875</v>
      </c>
    </row>
    <row r="37" customFormat="false" ht="15" hidden="false" customHeight="false" outlineLevel="0" collapsed="false">
      <c r="A37" s="9" t="s">
        <v>130</v>
      </c>
    </row>
    <row r="38" customFormat="false" ht="15" hidden="false" customHeight="false" outlineLevel="0" collapsed="false">
      <c r="A38" s="10" t="s">
        <v>131</v>
      </c>
      <c r="B38" s="17" t="n">
        <f aca="false">B7+B8</f>
        <v>8</v>
      </c>
    </row>
    <row r="39" customFormat="false" ht="15" hidden="false" customHeight="false" outlineLevel="0" collapsed="false">
      <c r="A39" s="10" t="s">
        <v>132</v>
      </c>
      <c r="B39" s="12" t="n">
        <f aca="false">B5/B38</f>
        <v>2.875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2026-08-09T21:38:07Z</dcterms:created>
  <dc:creator>openpyxl</dc:creator>
  <dc:description/>
  <dc:language>en-US</dc:language>
  <cp:lastModifiedBy/>
  <dcterms:modified xsi:type="dcterms:W3CDTF">2026-08-09T21:38:12Z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